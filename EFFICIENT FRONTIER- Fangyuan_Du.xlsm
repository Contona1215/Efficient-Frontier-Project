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ufangyuan/Desktop/"/>
    </mc:Choice>
  </mc:AlternateContent>
  <xr:revisionPtr revIDLastSave="0" documentId="13_ncr:1_{D9A0DC87-591D-6C4E-BE49-1EB41AA3F70D}" xr6:coauthVersionLast="47" xr6:coauthVersionMax="47" xr10:uidLastSave="{00000000-0000-0000-0000-000000000000}"/>
  <bookViews>
    <workbookView xWindow="7720" yWindow="3120" windowWidth="37720" windowHeight="22100" activeTab="3" xr2:uid="{00000000-000D-0000-FFFF-FFFF00000000}"/>
  </bookViews>
  <sheets>
    <sheet name="STOCK_DATA" sheetId="5" r:id="rId1"/>
    <sheet name="MW DATA" sheetId="3" r:id="rId2"/>
    <sheet name="TREASURY DATA" sheetId="2" r:id="rId3"/>
    <sheet name="EFFICIENT FRONTIER GRAPHS" sheetId="4" r:id="rId4"/>
    <sheet name="EFFICIENT FRONTIER ANALYSIS" sheetId="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 a="1"/>
  <c r="A4" i="1" s="1"/>
  <c r="A6" i="1" l="1"/>
  <c r="A11" i="1"/>
  <c r="A10" i="1"/>
  <c r="A9" i="1"/>
  <c r="A8" i="1"/>
  <c r="A7" i="1"/>
  <c r="A12" i="1"/>
  <c r="A5" i="1"/>
  <c r="B14" i="1" l="1"/>
  <c r="K3" i="2" l="1"/>
  <c r="E2" i="3" l="1"/>
  <c r="C3" i="2" l="1"/>
  <c r="D3" i="2"/>
  <c r="E3" i="2"/>
  <c r="F3" i="2"/>
  <c r="B14" i="4" s="1"/>
  <c r="B1" i="1" s="1"/>
  <c r="B61" i="1" s="1"/>
  <c r="G3" i="2"/>
  <c r="H3" i="2"/>
  <c r="I3" i="2"/>
  <c r="J3" i="2"/>
  <c r="L3" i="2"/>
  <c r="M3" i="2"/>
  <c r="B3" i="2"/>
  <c r="E3" i="3"/>
  <c r="E4" i="3"/>
  <c r="E5" i="3"/>
  <c r="E6" i="3"/>
  <c r="E7" i="3"/>
  <c r="E8" i="3"/>
  <c r="E9" i="3"/>
  <c r="E10" i="3"/>
  <c r="B30" i="4"/>
  <c r="A3" i="5"/>
  <c r="A4" i="5" s="1"/>
  <c r="A5" i="5" s="1"/>
  <c r="A6" i="5" s="1"/>
  <c r="A7" i="5" s="1"/>
  <c r="A8" i="5" s="1"/>
  <c r="A9" i="5" s="1"/>
  <c r="A10" i="5" s="1"/>
  <c r="B62" i="1" l="1"/>
  <c r="A3" i="2"/>
  <c r="H1" i="3" l="1" a="1"/>
  <c r="H1" i="3" s="1"/>
  <c r="G2" i="3" a="1"/>
  <c r="G2" i="3" s="1"/>
  <c r="M1" i="3" l="1"/>
  <c r="K1" i="3"/>
  <c r="O1" i="3"/>
  <c r="I1" i="3"/>
  <c r="G9" i="3"/>
  <c r="G7" i="3"/>
  <c r="G5" i="3"/>
  <c r="J4" i="1" s="1" a="1"/>
  <c r="G3" i="3"/>
  <c r="G10" i="3"/>
  <c r="G8" i="3"/>
  <c r="G6" i="3"/>
  <c r="G4" i="3"/>
  <c r="P1" i="3"/>
  <c r="N1" i="3"/>
  <c r="L1" i="3"/>
  <c r="J1" i="3"/>
  <c r="K3" i="1" s="1" a="1"/>
  <c r="F5" i="1"/>
  <c r="F6" i="1"/>
  <c r="F7" i="1"/>
  <c r="F8" i="1"/>
  <c r="F9" i="1"/>
  <c r="F10" i="1"/>
  <c r="F11" i="1"/>
  <c r="F12" i="1"/>
  <c r="C60" i="1"/>
  <c r="B60" i="1" s="1"/>
  <c r="F4" i="1"/>
  <c r="B12" i="1" l="1"/>
  <c r="C12" i="1"/>
  <c r="B11" i="1"/>
  <c r="C11" i="1"/>
  <c r="B9" i="1"/>
  <c r="C9" i="1"/>
  <c r="B8" i="1"/>
  <c r="C8" i="1"/>
  <c r="B7" i="1"/>
  <c r="C7" i="1"/>
  <c r="C4" i="1"/>
  <c r="B4" i="1"/>
  <c r="B10" i="1"/>
  <c r="C10" i="1"/>
  <c r="B5" i="1"/>
  <c r="B50" i="1" s="1"/>
  <c r="C5" i="1"/>
  <c r="B6" i="1"/>
  <c r="C6" i="1"/>
  <c r="L3" i="1"/>
  <c r="P3" i="1"/>
  <c r="K3" i="1"/>
  <c r="O3" i="1"/>
  <c r="S3" i="1"/>
  <c r="N3" i="1"/>
  <c r="R3" i="1"/>
  <c r="M3" i="1"/>
  <c r="V3" i="1" s="1" a="1"/>
  <c r="Q3" i="1"/>
  <c r="J7" i="1"/>
  <c r="J11" i="1"/>
  <c r="J6" i="1"/>
  <c r="J10" i="1"/>
  <c r="J5" i="1"/>
  <c r="J9" i="1"/>
  <c r="J4" i="1"/>
  <c r="U4" i="1" s="1" a="1"/>
  <c r="J8" i="1"/>
  <c r="J12" i="1"/>
  <c r="D4" i="1" l="1"/>
  <c r="U12" i="1"/>
  <c r="U6" i="1"/>
  <c r="U5" i="1"/>
  <c r="U7" i="1"/>
  <c r="AB3" i="1"/>
  <c r="W3" i="1"/>
  <c r="Z3" i="1"/>
  <c r="Y3" i="1"/>
  <c r="X3" i="1"/>
  <c r="U8" i="1"/>
  <c r="AA3" i="1"/>
  <c r="V3" i="1"/>
  <c r="AD3" i="1"/>
  <c r="U11" i="1"/>
  <c r="U10" i="1"/>
  <c r="AC3" i="1"/>
  <c r="U9" i="1"/>
  <c r="U4" i="1"/>
  <c r="L1" i="1"/>
  <c r="L4" i="1" s="1"/>
  <c r="M1" i="1"/>
  <c r="M4" i="1" s="1"/>
  <c r="N1" i="1"/>
  <c r="N4" i="1" s="1"/>
  <c r="O1" i="1"/>
  <c r="O4" i="1" s="1"/>
  <c r="P1" i="1"/>
  <c r="P4" i="1" s="1"/>
  <c r="Q1" i="1"/>
  <c r="Q4" i="1" s="1"/>
  <c r="R1" i="1"/>
  <c r="R11" i="1" s="1"/>
  <c r="S1" i="1"/>
  <c r="S12" i="1" s="1"/>
  <c r="K1" i="1"/>
  <c r="K4" i="1" s="1"/>
  <c r="E61" i="1"/>
  <c r="T24" i="1" l="1" a="1"/>
  <c r="T24" i="1" s="1"/>
  <c r="D10" i="1"/>
  <c r="D9" i="1"/>
  <c r="D8" i="1"/>
  <c r="D5" i="1"/>
  <c r="D11" i="1"/>
  <c r="D6" i="1"/>
  <c r="D12" i="1"/>
  <c r="D7" i="1"/>
  <c r="L5" i="1"/>
  <c r="M6" i="1"/>
  <c r="N7" i="1"/>
  <c r="O8" i="1"/>
  <c r="P9" i="1"/>
  <c r="Q10" i="1"/>
  <c r="R12" i="1"/>
  <c r="Q12" i="1"/>
  <c r="P12" i="1"/>
  <c r="O12" i="1"/>
  <c r="N12" i="1"/>
  <c r="M12" i="1"/>
  <c r="L12" i="1"/>
  <c r="K12" i="1"/>
  <c r="S11" i="1"/>
  <c r="Q11" i="1"/>
  <c r="P11" i="1"/>
  <c r="O11" i="1"/>
  <c r="N11" i="1"/>
  <c r="M11" i="1"/>
  <c r="L11" i="1"/>
  <c r="K11" i="1"/>
  <c r="S10" i="1"/>
  <c r="R10" i="1"/>
  <c r="P10" i="1"/>
  <c r="O10" i="1"/>
  <c r="N10" i="1"/>
  <c r="M10" i="1"/>
  <c r="L10" i="1"/>
  <c r="K10" i="1"/>
  <c r="S9" i="1"/>
  <c r="R9" i="1"/>
  <c r="Q9" i="1"/>
  <c r="O9" i="1"/>
  <c r="N9" i="1"/>
  <c r="M9" i="1"/>
  <c r="L9" i="1"/>
  <c r="K9" i="1"/>
  <c r="S8" i="1"/>
  <c r="R8" i="1"/>
  <c r="Q8" i="1"/>
  <c r="P8" i="1"/>
  <c r="N8" i="1"/>
  <c r="M8" i="1"/>
  <c r="L8" i="1"/>
  <c r="K8" i="1"/>
  <c r="S7" i="1"/>
  <c r="R7" i="1"/>
  <c r="Q7" i="1"/>
  <c r="P7" i="1"/>
  <c r="O7" i="1"/>
  <c r="M7" i="1"/>
  <c r="L7" i="1"/>
  <c r="K7" i="1"/>
  <c r="S6" i="1"/>
  <c r="R6" i="1"/>
  <c r="Q6" i="1"/>
  <c r="P6" i="1"/>
  <c r="O6" i="1"/>
  <c r="N6" i="1"/>
  <c r="L6" i="1"/>
  <c r="K6" i="1"/>
  <c r="S5" i="1"/>
  <c r="R5" i="1"/>
  <c r="Q5" i="1"/>
  <c r="P5" i="1"/>
  <c r="O5" i="1"/>
  <c r="N5" i="1"/>
  <c r="M5" i="1"/>
  <c r="K5" i="1"/>
  <c r="S4" i="1"/>
  <c r="R4" i="1"/>
  <c r="V24" i="1" l="1"/>
  <c r="AB24" i="1"/>
  <c r="X24" i="1"/>
  <c r="Y24" i="1"/>
  <c r="W24" i="1"/>
  <c r="Z24" i="1"/>
  <c r="U24" i="1"/>
  <c r="AA24" i="1"/>
  <c r="D29" i="1"/>
  <c r="D28" i="1"/>
  <c r="D27" i="1"/>
  <c r="D26" i="1"/>
  <c r="D25" i="1"/>
  <c r="D24" i="1"/>
  <c r="D23" i="1"/>
  <c r="D22" i="1"/>
  <c r="D21" i="1"/>
  <c r="P27" i="1" l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Q23" i="1"/>
  <c r="Q26" i="1" s="1"/>
  <c r="B36" i="1"/>
  <c r="D36" i="1" s="1"/>
  <c r="B37" i="1"/>
  <c r="D37" i="1" s="1"/>
  <c r="B38" i="1"/>
  <c r="D38" i="1" s="1"/>
  <c r="B39" i="1"/>
  <c r="D39" i="1" s="1"/>
  <c r="B40" i="1"/>
  <c r="D40" i="1" s="1"/>
  <c r="B41" i="1"/>
  <c r="D41" i="1" s="1"/>
  <c r="B42" i="1"/>
  <c r="D42" i="1" s="1"/>
  <c r="B43" i="1"/>
  <c r="D43" i="1" s="1"/>
  <c r="B35" i="1"/>
  <c r="D35" i="1" s="1"/>
  <c r="Q27" i="1" l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V4" i="1" l="1" a="1"/>
  <c r="V4" i="1" s="1"/>
  <c r="AC12" i="1" l="1"/>
  <c r="AA12" i="1"/>
  <c r="Y12" i="1"/>
  <c r="W12" i="1"/>
  <c r="AD11" i="1"/>
  <c r="AB11" i="1"/>
  <c r="Z11" i="1"/>
  <c r="X11" i="1"/>
  <c r="V11" i="1"/>
  <c r="AC10" i="1"/>
  <c r="AA10" i="1"/>
  <c r="Y10" i="1"/>
  <c r="W10" i="1"/>
  <c r="AD9" i="1"/>
  <c r="AB9" i="1"/>
  <c r="Z9" i="1"/>
  <c r="X9" i="1"/>
  <c r="V9" i="1"/>
  <c r="AC8" i="1"/>
  <c r="AA8" i="1"/>
  <c r="Y8" i="1"/>
  <c r="W8" i="1"/>
  <c r="AD7" i="1"/>
  <c r="AB7" i="1"/>
  <c r="Z7" i="1"/>
  <c r="X7" i="1"/>
  <c r="V7" i="1"/>
  <c r="AC6" i="1"/>
  <c r="AA6" i="1"/>
  <c r="Y6" i="1"/>
  <c r="W6" i="1"/>
  <c r="AD5" i="1"/>
  <c r="AB5" i="1"/>
  <c r="Z5" i="1"/>
  <c r="X5" i="1"/>
  <c r="V5" i="1"/>
  <c r="AC4" i="1"/>
  <c r="AA4" i="1"/>
  <c r="Y4" i="1"/>
  <c r="W4" i="1"/>
  <c r="AD12" i="1"/>
  <c r="AB12" i="1"/>
  <c r="Z12" i="1"/>
  <c r="X12" i="1"/>
  <c r="V12" i="1"/>
  <c r="AC11" i="1"/>
  <c r="AA11" i="1"/>
  <c r="Y11" i="1"/>
  <c r="W11" i="1"/>
  <c r="AD10" i="1"/>
  <c r="AB10" i="1"/>
  <c r="Z10" i="1"/>
  <c r="X10" i="1"/>
  <c r="V10" i="1"/>
  <c r="AC9" i="1"/>
  <c r="AA9" i="1"/>
  <c r="Y9" i="1"/>
  <c r="W9" i="1"/>
  <c r="AD8" i="1"/>
  <c r="AB8" i="1"/>
  <c r="Z8" i="1"/>
  <c r="X8" i="1"/>
  <c r="V8" i="1"/>
  <c r="AC7" i="1"/>
  <c r="AA7" i="1"/>
  <c r="Y7" i="1"/>
  <c r="W7" i="1"/>
  <c r="AD6" i="1"/>
  <c r="AB6" i="1"/>
  <c r="Z6" i="1"/>
  <c r="X6" i="1"/>
  <c r="V6" i="1"/>
  <c r="AC5" i="1"/>
  <c r="AA5" i="1"/>
  <c r="Y5" i="1"/>
  <c r="W5" i="1"/>
  <c r="AD4" i="1"/>
  <c r="AB4" i="1"/>
  <c r="Z4" i="1"/>
  <c r="X4" i="1"/>
  <c r="F35" i="1" l="1" a="1"/>
  <c r="F35" i="1" s="1"/>
  <c r="F21" i="1" a="1"/>
  <c r="F21" i="1" s="1"/>
  <c r="F28" i="1" l="1"/>
  <c r="F24" i="1"/>
  <c r="F26" i="1"/>
  <c r="F22" i="1"/>
  <c r="F29" i="1"/>
  <c r="F27" i="1"/>
  <c r="F25" i="1"/>
  <c r="F23" i="1"/>
  <c r="F42" i="1"/>
  <c r="F38" i="1"/>
  <c r="F40" i="1"/>
  <c r="F36" i="1"/>
  <c r="F43" i="1"/>
  <c r="F41" i="1"/>
  <c r="F39" i="1"/>
  <c r="F37" i="1"/>
  <c r="F30" i="1" l="1"/>
  <c r="H28" i="1" s="1"/>
  <c r="F44" i="1"/>
  <c r="H42" i="1" s="1"/>
  <c r="H22" i="1" l="1"/>
  <c r="H26" i="1"/>
  <c r="H24" i="1"/>
  <c r="H25" i="1"/>
  <c r="H27" i="1"/>
  <c r="H23" i="1"/>
  <c r="H21" i="1"/>
  <c r="H29" i="1"/>
  <c r="H37" i="1"/>
  <c r="H36" i="1"/>
  <c r="H41" i="1"/>
  <c r="H40" i="1"/>
  <c r="H35" i="1"/>
  <c r="H39" i="1"/>
  <c r="H43" i="1"/>
  <c r="H38" i="1"/>
  <c r="H30" i="1" l="1"/>
  <c r="K21" i="1"/>
  <c r="K22" i="1" a="1"/>
  <c r="K22" i="1" s="1"/>
  <c r="K23" i="1" s="1"/>
  <c r="N21" i="1" a="1"/>
  <c r="N28" i="1" s="1"/>
  <c r="AA25" i="1" s="1"/>
  <c r="H44" i="1"/>
  <c r="K35" i="1"/>
  <c r="K36" i="1" a="1"/>
  <c r="K36" i="1" s="1"/>
  <c r="K37" i="1" s="1"/>
  <c r="C15" i="1"/>
  <c r="F15" i="1"/>
  <c r="N21" i="1" l="1"/>
  <c r="T25" i="1" s="1"/>
  <c r="N22" i="1"/>
  <c r="U25" i="1" s="1"/>
  <c r="N25" i="1"/>
  <c r="X25" i="1" s="1"/>
  <c r="N23" i="1"/>
  <c r="V25" i="1" s="1"/>
  <c r="N26" i="1"/>
  <c r="Y25" i="1" s="1"/>
  <c r="N24" i="1"/>
  <c r="W25" i="1" s="1"/>
  <c r="N27" i="1"/>
  <c r="Z25" i="1" s="1"/>
  <c r="N29" i="1"/>
  <c r="AB25" i="1" s="1"/>
  <c r="F61" i="1"/>
  <c r="B49" i="1"/>
  <c r="D49" i="1" s="1"/>
  <c r="N36" i="1" l="1" a="1"/>
  <c r="N36" i="1" s="1"/>
  <c r="N37" i="1" s="1"/>
  <c r="R25" i="1" s="1"/>
  <c r="N35" i="1"/>
  <c r="N14" i="1" s="1"/>
  <c r="N30" i="1"/>
  <c r="D50" i="1"/>
  <c r="B51" i="1"/>
  <c r="D51" i="1" s="1"/>
  <c r="B52" i="1"/>
  <c r="D52" i="1" s="1"/>
  <c r="B53" i="1"/>
  <c r="D53" i="1" s="1"/>
  <c r="B54" i="1"/>
  <c r="D54" i="1" s="1"/>
  <c r="B55" i="1"/>
  <c r="D55" i="1" s="1"/>
  <c r="B56" i="1"/>
  <c r="D56" i="1" s="1"/>
  <c r="B57" i="1"/>
  <c r="D57" i="1" s="1"/>
  <c r="S25" i="1" l="1"/>
  <c r="F49" i="1" a="1"/>
  <c r="F49" i="1" s="1"/>
  <c r="F56" i="1" l="1"/>
  <c r="F52" i="1"/>
  <c r="F54" i="1"/>
  <c r="F50" i="1"/>
  <c r="F57" i="1"/>
  <c r="F55" i="1"/>
  <c r="F53" i="1"/>
  <c r="F51" i="1"/>
  <c r="F58" i="1" l="1"/>
  <c r="H57" i="1" l="1"/>
  <c r="G12" i="1" s="1"/>
  <c r="H12" i="1" s="1"/>
  <c r="H49" i="1"/>
  <c r="H56" i="1"/>
  <c r="G11" i="1" s="1"/>
  <c r="H11" i="1" s="1"/>
  <c r="H52" i="1"/>
  <c r="G7" i="1" s="1"/>
  <c r="H7" i="1" s="1"/>
  <c r="H54" i="1"/>
  <c r="G9" i="1" s="1"/>
  <c r="H9" i="1" s="1"/>
  <c r="H50" i="1"/>
  <c r="G5" i="1" s="1"/>
  <c r="C11" i="4"/>
  <c r="D11" i="4" s="1"/>
  <c r="H55" i="1"/>
  <c r="G10" i="1" s="1"/>
  <c r="H10" i="1" s="1"/>
  <c r="H53" i="1"/>
  <c r="G8" i="1" s="1"/>
  <c r="C7" i="4" s="1"/>
  <c r="D7" i="4" s="1"/>
  <c r="H51" i="1"/>
  <c r="G6" i="1" s="1"/>
  <c r="C5" i="4" s="1"/>
  <c r="G4" i="1" l="1"/>
  <c r="C3" i="4" s="1"/>
  <c r="D3" i="4" s="1"/>
  <c r="H5" i="1"/>
  <c r="C8" i="4"/>
  <c r="D8" i="4" s="1"/>
  <c r="C10" i="4"/>
  <c r="D10" i="4" s="1"/>
  <c r="H8" i="1"/>
  <c r="C6" i="4"/>
  <c r="D6" i="4" s="1"/>
  <c r="C9" i="4"/>
  <c r="D9" i="4" s="1"/>
  <c r="H6" i="1"/>
  <c r="K50" i="1" a="1"/>
  <c r="K50" i="1" s="1"/>
  <c r="K51" i="1" s="1"/>
  <c r="D16" i="1" s="1"/>
  <c r="C4" i="4"/>
  <c r="D4" i="4" s="1"/>
  <c r="H58" i="1"/>
  <c r="K49" i="1"/>
  <c r="F16" i="1" s="1"/>
  <c r="B15" i="1" s="1"/>
  <c r="G13" i="1"/>
  <c r="D5" i="4"/>
  <c r="D12" i="4" l="1"/>
  <c r="H4" i="1"/>
  <c r="H13" i="1" s="1"/>
  <c r="B19" i="4" s="1"/>
  <c r="B21" i="4" s="1"/>
  <c r="E62" i="1"/>
  <c r="C12" i="4"/>
  <c r="F62" i="1"/>
  <c r="C16" i="1"/>
  <c r="G7" i="4"/>
  <c r="B16" i="4"/>
  <c r="B28" i="4" s="1"/>
  <c r="B20" i="1"/>
  <c r="B16" i="1"/>
  <c r="F14" i="1" l="1"/>
  <c r="B17" i="4"/>
  <c r="C17" i="4" s="1"/>
  <c r="G9" i="4"/>
  <c r="G6" i="4"/>
  <c r="G4" i="4"/>
  <c r="E4" i="4" s="1"/>
  <c r="G10" i="4"/>
  <c r="G11" i="4"/>
  <c r="G5" i="4"/>
  <c r="G8" i="4"/>
  <c r="G3" i="4"/>
  <c r="C14" i="1"/>
  <c r="C16" i="4"/>
  <c r="B17" i="1"/>
  <c r="B18" i="4" s="1"/>
  <c r="B22" i="4" l="1"/>
  <c r="B24" i="4" l="1"/>
  <c r="B25" i="4"/>
  <c r="E7" i="4"/>
  <c r="E9" i="4"/>
  <c r="E11" i="4"/>
  <c r="E5" i="4"/>
  <c r="E6" i="4"/>
  <c r="E8" i="4"/>
  <c r="E10" i="4"/>
  <c r="E3" i="4"/>
  <c r="C19" i="4"/>
  <c r="E1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<sst xmlns="http://schemas.openxmlformats.org/spreadsheetml/2006/main" count="176" uniqueCount="99">
  <si>
    <t>AVERAGE</t>
  </si>
  <si>
    <t>S</t>
  </si>
  <si>
    <t>ST. DEV</t>
  </si>
  <si>
    <t>Point 1 Calculation</t>
  </si>
  <si>
    <t>v1</t>
  </si>
  <si>
    <t>w1</t>
  </si>
  <si>
    <t>Point 2 Calculation</t>
  </si>
  <si>
    <t>v2</t>
  </si>
  <si>
    <t>w2</t>
  </si>
  <si>
    <t>a</t>
  </si>
  <si>
    <r>
      <rPr>
        <sz val="11"/>
        <color theme="1"/>
        <rFont val="Symbol"/>
        <family val="1"/>
        <charset val="2"/>
      </rPr>
      <t xml:space="preserve">a </t>
    </r>
    <r>
      <rPr>
        <sz val="11"/>
        <color theme="1"/>
        <rFont val="宋体"/>
        <family val="2"/>
        <scheme val="minor"/>
      </rPr>
      <t>w1 + (1-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宋体"/>
        <family val="2"/>
        <scheme val="minor"/>
      </rPr>
      <t>) w2</t>
    </r>
  </si>
  <si>
    <t>Mean</t>
  </si>
  <si>
    <t>St. Dev.</t>
  </si>
  <si>
    <t>Variance</t>
  </si>
  <si>
    <t>LB</t>
  </si>
  <si>
    <t>UB</t>
  </si>
  <si>
    <t>STEPS</t>
  </si>
  <si>
    <t>WIDTH</t>
  </si>
  <si>
    <t>Point 1</t>
  </si>
  <si>
    <t>Point 2</t>
  </si>
  <si>
    <t>Point 3 Calculation</t>
  </si>
  <si>
    <r>
      <t>r</t>
    </r>
    <r>
      <rPr>
        <vertAlign val="subscript"/>
        <sz val="11"/>
        <color theme="1"/>
        <rFont val="宋体"/>
        <family val="2"/>
        <scheme val="minor"/>
      </rPr>
      <t>f</t>
    </r>
  </si>
  <si>
    <t>v3</t>
  </si>
  <si>
    <t>w3</t>
  </si>
  <si>
    <t>Point 3</t>
  </si>
  <si>
    <r>
      <t>S</t>
    </r>
    <r>
      <rPr>
        <vertAlign val="superscript"/>
        <sz val="11"/>
        <color theme="1"/>
        <rFont val="Symbol"/>
        <family val="1"/>
        <charset val="2"/>
      </rPr>
      <t>-1</t>
    </r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</si>
  <si>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</si>
  <si>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</si>
  <si>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</si>
  <si>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</si>
  <si>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</si>
  <si>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</si>
  <si>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</si>
  <si>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</si>
  <si>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</si>
  <si>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</si>
  <si>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</si>
  <si>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SELECT?</t>
  </si>
  <si>
    <t>RISK FREE (in %)</t>
  </si>
  <si>
    <t>Desired Return</t>
  </si>
  <si>
    <t>F</t>
  </si>
  <si>
    <t>0 mo</t>
  </si>
  <si>
    <t>% IN RISK FREE</t>
  </si>
  <si>
    <t>St Dev</t>
  </si>
  <si>
    <t>Risk Free</t>
  </si>
  <si>
    <t>ABS(F)</t>
  </si>
  <si>
    <t>% IN FUND F</t>
  </si>
  <si>
    <t>DESIRED RETURN (%)</t>
  </si>
  <si>
    <r>
      <t xml:space="preserve">Point </t>
    </r>
    <r>
      <rPr>
        <b/>
        <sz val="11"/>
        <color theme="1"/>
        <rFont val="Symbol"/>
        <family val="1"/>
        <charset val="2"/>
      </rPr>
      <t>a</t>
    </r>
  </si>
  <si>
    <t>Excess from Free</t>
  </si>
  <si>
    <t>Excess from Tangent</t>
  </si>
  <si>
    <t>ST. DEV. RETURN</t>
  </si>
  <si>
    <t>STOCKS</t>
  </si>
  <si>
    <t>Coeff. of Var.</t>
  </si>
  <si>
    <t>AMOUNT OF FUNDS TO INVEST</t>
  </si>
  <si>
    <t>TOTAL FUNDS NEEDED</t>
  </si>
  <si>
    <t>TOTAL FUNDS BORROWED</t>
  </si>
  <si>
    <t>INVESTMENT FUNDS NEEDED</t>
  </si>
  <si>
    <t>BORROWED FOR FUND F</t>
  </si>
  <si>
    <t>BORROWED FOR RISK FREE</t>
  </si>
  <si>
    <t>DESIRED IN RISK FREE FUND</t>
  </si>
  <si>
    <t>DIFFERENCE</t>
  </si>
  <si>
    <t>ABS(WEIGHT)</t>
  </si>
  <si>
    <t>TICKERS</t>
  </si>
  <si>
    <t>AMOUNT</t>
  </si>
  <si>
    <t>FUND F WEIGHT</t>
  </si>
  <si>
    <t>RETURN (%)</t>
  </si>
  <si>
    <t>YEARLY</t>
  </si>
  <si>
    <t>YEARLY RETURN ESTIMATE (%)</t>
  </si>
  <si>
    <t>2 mo</t>
  </si>
  <si>
    <t>% IN RISK FREE OF TOTAL FUNDS</t>
  </si>
  <si>
    <t>% IN FUND F OF TOTAL FUNDS</t>
  </si>
  <si>
    <t>APPLE</t>
    <phoneticPr fontId="14" type="noConversion"/>
  </si>
  <si>
    <t>SUMSANG</t>
    <phoneticPr fontId="14" type="noConversion"/>
  </si>
  <si>
    <t>MICROSOFT</t>
    <phoneticPr fontId="14" type="noConversion"/>
  </si>
  <si>
    <t>ALPHABET</t>
    <phoneticPr fontId="14" type="noConversion"/>
  </si>
  <si>
    <t>KWEICHOU MOUTAI</t>
    <phoneticPr fontId="14" type="noConversion"/>
  </si>
  <si>
    <t>AMAZON</t>
    <phoneticPr fontId="14" type="noConversion"/>
  </si>
  <si>
    <t>STARBUCKS</t>
    <phoneticPr fontId="14" type="noConversion"/>
  </si>
  <si>
    <t>NETFLIX</t>
    <phoneticPr fontId="14" type="noConversion"/>
  </si>
  <si>
    <t>NIKE</t>
    <phoneticPr fontId="14" type="noConversion"/>
  </si>
  <si>
    <t>AAPL</t>
  </si>
  <si>
    <t>APPLE</t>
  </si>
  <si>
    <t>CVS</t>
  </si>
  <si>
    <t xml:space="preserve">CVS HEALTH </t>
  </si>
  <si>
    <t>MSFT</t>
  </si>
  <si>
    <t>MICROSOFT</t>
  </si>
  <si>
    <t>GOOGL</t>
  </si>
  <si>
    <t>ALPHABET</t>
  </si>
  <si>
    <t>COST</t>
  </si>
  <si>
    <t>COSTCO WHOLESALE</t>
  </si>
  <si>
    <t>AMZN</t>
  </si>
  <si>
    <t>AMAZON</t>
  </si>
  <si>
    <t>SBUX</t>
  </si>
  <si>
    <t>STARBUCKS</t>
  </si>
  <si>
    <t>NFLX</t>
  </si>
  <si>
    <t>NETFLIX</t>
  </si>
  <si>
    <t>NKE</t>
  </si>
  <si>
    <t>NIKE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</si>
</sst>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&quot;$&quot;* #,##0.00_);_(&quot;$&quot;* \(#,##0.00\);_(&quot;$&quot;* &quot;-&quot;??_);_(@_)"/>
    <numFmt numFmtId="177" formatCode="0.000"/>
    <numFmt numFmtId="178" formatCode="0.0000"/>
    <numFmt numFmtId="179" formatCode="0.0%"/>
    <numFmt numFmtId="180" formatCode="0.0"/>
    <numFmt numFmtId="181" formatCode="&quot;$&quot;#,##0.00"/>
    <numFmt numFmtId="182" formatCode="0.00000"/>
    <numFmt numFmtId="183" formatCode="0.000000"/>
  </numFmts>
  <fonts count="17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宋体"/>
      <family val="2"/>
      <scheme val="minor"/>
    </font>
    <font>
      <vertAlign val="superscript"/>
      <sz val="11"/>
      <color theme="1"/>
      <name val="Symbol"/>
      <family val="1"/>
      <charset val="2"/>
    </font>
    <font>
      <b/>
      <sz val="11"/>
      <color rgb="FFFF0000"/>
      <name val="宋体"/>
      <family val="2"/>
      <scheme val="minor"/>
    </font>
    <font>
      <b/>
      <sz val="11"/>
      <color rgb="FF0070C0"/>
      <name val="宋体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rgb="FF00B050"/>
      <name val="宋体"/>
      <family val="2"/>
      <scheme val="minor"/>
    </font>
    <font>
      <b/>
      <sz val="11"/>
      <name val="宋体"/>
      <family val="2"/>
      <scheme val="minor"/>
    </font>
    <font>
      <sz val="11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ArialMT"/>
      <family val="2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4">
    <xf numFmtId="0" fontId="0" fillId="0" borderId="0"/>
    <xf numFmtId="176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</cellStyleXfs>
  <cellXfs count="115">
    <xf numFmtId="0" fontId="0" fillId="0" borderId="0" xfId="0"/>
    <xf numFmtId="177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2" fillId="0" borderId="0" xfId="0" applyNumberFormat="1" applyFont="1"/>
    <xf numFmtId="177" fontId="0" fillId="0" borderId="1" xfId="0" applyNumberFormat="1" applyBorder="1" applyAlignment="1">
      <alignment horizontal="center"/>
    </xf>
    <xf numFmtId="177" fontId="0" fillId="0" borderId="2" xfId="0" applyNumberFormat="1" applyBorder="1" applyAlignment="1">
      <alignment horizontal="center"/>
    </xf>
    <xf numFmtId="177" fontId="0" fillId="0" borderId="3" xfId="0" applyNumberFormat="1" applyBorder="1" applyAlignment="1">
      <alignment horizontal="center"/>
    </xf>
    <xf numFmtId="1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78" fontId="0" fillId="0" borderId="1" xfId="0" applyNumberFormat="1" applyBorder="1"/>
    <xf numFmtId="178" fontId="0" fillId="0" borderId="2" xfId="0" applyNumberFormat="1" applyBorder="1"/>
    <xf numFmtId="178" fontId="0" fillId="0" borderId="3" xfId="0" applyNumberFormat="1" applyBorder="1"/>
    <xf numFmtId="178" fontId="0" fillId="0" borderId="0" xfId="0" applyNumberFormat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/>
    <xf numFmtId="2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77" fontId="6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 vertical="center" wrapText="1"/>
    </xf>
    <xf numFmtId="179" fontId="0" fillId="0" borderId="0" xfId="0" applyNumberFormat="1" applyAlignment="1">
      <alignment horizontal="center"/>
    </xf>
    <xf numFmtId="179" fontId="0" fillId="0" borderId="0" xfId="0" applyNumberFormat="1"/>
    <xf numFmtId="14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0" fontId="0" fillId="0" borderId="0" xfId="0" applyNumberFormat="1"/>
    <xf numFmtId="2" fontId="1" fillId="0" borderId="0" xfId="0" applyNumberFormat="1" applyFont="1"/>
    <xf numFmtId="2" fontId="0" fillId="0" borderId="4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178" fontId="1" fillId="0" borderId="0" xfId="0" applyNumberFormat="1" applyFont="1" applyAlignment="1">
      <alignment horizontal="center"/>
    </xf>
    <xf numFmtId="180" fontId="0" fillId="0" borderId="0" xfId="0" applyNumberFormat="1" applyAlignment="1">
      <alignment horizontal="center"/>
    </xf>
    <xf numFmtId="9" fontId="5" fillId="0" borderId="0" xfId="0" applyNumberFormat="1" applyFont="1" applyAlignment="1">
      <alignment horizontal="center"/>
    </xf>
    <xf numFmtId="0" fontId="8" fillId="0" borderId="0" xfId="0" applyFont="1"/>
    <xf numFmtId="0" fontId="9" fillId="0" borderId="0" xfId="0" applyFont="1"/>
    <xf numFmtId="2" fontId="9" fillId="0" borderId="0" xfId="0" applyNumberFormat="1" applyFont="1" applyAlignment="1">
      <alignment horizontal="center"/>
    </xf>
    <xf numFmtId="2" fontId="10" fillId="0" borderId="0" xfId="0" applyNumberFormat="1" applyFont="1"/>
    <xf numFmtId="2" fontId="1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2" fontId="0" fillId="0" borderId="10" xfId="0" applyNumberFormat="1" applyFont="1" applyBorder="1" applyAlignment="1">
      <alignment horizontal="center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79" fontId="8" fillId="0" borderId="0" xfId="0" applyNumberFormat="1" applyFont="1" applyAlignment="1">
      <alignment horizontal="center"/>
    </xf>
    <xf numFmtId="179" fontId="5" fillId="0" borderId="0" xfId="0" applyNumberFormat="1" applyFont="1" applyAlignment="1">
      <alignment horizontal="center"/>
    </xf>
    <xf numFmtId="181" fontId="10" fillId="0" borderId="0" xfId="0" applyNumberFormat="1" applyFont="1"/>
    <xf numFmtId="181" fontId="5" fillId="0" borderId="0" xfId="0" applyNumberFormat="1" applyFont="1" applyAlignment="1">
      <alignment horizontal="center"/>
    </xf>
    <xf numFmtId="181" fontId="8" fillId="0" borderId="0" xfId="0" applyNumberFormat="1" applyFont="1" applyAlignment="1">
      <alignment horizontal="center"/>
    </xf>
    <xf numFmtId="181" fontId="0" fillId="0" borderId="0" xfId="0" applyNumberFormat="1"/>
    <xf numFmtId="181" fontId="0" fillId="0" borderId="0" xfId="0" applyNumberFormat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5" fillId="0" borderId="21" xfId="0" applyFont="1" applyBorder="1"/>
    <xf numFmtId="2" fontId="5" fillId="0" borderId="21" xfId="0" applyNumberFormat="1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2" fontId="0" fillId="0" borderId="21" xfId="0" applyNumberFormat="1" applyBorder="1"/>
    <xf numFmtId="2" fontId="0" fillId="0" borderId="22" xfId="0" applyNumberForma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 vertical="center" wrapText="1"/>
    </xf>
    <xf numFmtId="182" fontId="11" fillId="0" borderId="0" xfId="0" applyNumberFormat="1" applyFont="1" applyAlignment="1">
      <alignment horizontal="center"/>
    </xf>
    <xf numFmtId="183" fontId="11" fillId="0" borderId="0" xfId="0" applyNumberFormat="1" applyFont="1" applyAlignment="1">
      <alignment horizontal="center"/>
    </xf>
    <xf numFmtId="182" fontId="11" fillId="0" borderId="10" xfId="0" applyNumberFormat="1" applyFont="1" applyBorder="1" applyAlignment="1">
      <alignment horizontal="center"/>
    </xf>
    <xf numFmtId="183" fontId="11" fillId="0" borderId="10" xfId="0" applyNumberFormat="1" applyFont="1" applyBorder="1" applyAlignment="1">
      <alignment horizontal="center"/>
    </xf>
    <xf numFmtId="0" fontId="0" fillId="0" borderId="21" xfId="0" applyBorder="1"/>
    <xf numFmtId="176" fontId="11" fillId="0" borderId="0" xfId="1" applyFont="1" applyAlignment="1">
      <alignment horizontal="center"/>
    </xf>
    <xf numFmtId="176" fontId="11" fillId="0" borderId="10" xfId="1" applyFont="1" applyBorder="1" applyAlignment="1">
      <alignment horizontal="center"/>
    </xf>
    <xf numFmtId="176" fontId="0" fillId="0" borderId="0" xfId="1" applyFont="1"/>
    <xf numFmtId="2" fontId="5" fillId="0" borderId="0" xfId="0" applyNumberFormat="1" applyFont="1"/>
    <xf numFmtId="10" fontId="10" fillId="0" borderId="0" xfId="2" applyNumberFormat="1" applyFont="1"/>
    <xf numFmtId="0" fontId="0" fillId="0" borderId="24" xfId="0" applyBorder="1"/>
    <xf numFmtId="176" fontId="0" fillId="0" borderId="0" xfId="1" applyFont="1" applyAlignment="1">
      <alignment horizontal="center"/>
    </xf>
    <xf numFmtId="181" fontId="5" fillId="0" borderId="0" xfId="0" applyNumberFormat="1" applyFont="1"/>
    <xf numFmtId="0" fontId="15" fillId="0" borderId="0" xfId="3" applyFont="1"/>
    <xf numFmtId="0" fontId="15" fillId="0" borderId="0" xfId="0" applyFont="1"/>
    <xf numFmtId="0" fontId="16" fillId="0" borderId="11" xfId="0" applyFont="1" applyBorder="1"/>
    <xf numFmtId="0" fontId="16" fillId="0" borderId="11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10" xfId="0" applyFont="1" applyBorder="1"/>
    <xf numFmtId="0" fontId="15" fillId="0" borderId="0" xfId="0" applyFont="1" applyAlignment="1">
      <alignment horizontal="center"/>
    </xf>
    <xf numFmtId="0" fontId="15" fillId="0" borderId="10" xfId="0" applyFont="1" applyBorder="1" applyAlignment="1">
      <alignment horizontal="center" vertical="center"/>
    </xf>
    <xf numFmtId="2" fontId="0" fillId="0" borderId="0" xfId="2" applyNumberFormat="1" applyFont="1" applyAlignment="1"/>
    <xf numFmtId="0" fontId="15" fillId="0" borderId="0" xfId="3" applyFont="1" applyAlignment="1">
      <alignment horizontal="center"/>
    </xf>
    <xf numFmtId="0" fontId="15" fillId="0" borderId="10" xfId="0" applyFont="1" applyBorder="1" applyAlignment="1">
      <alignment horizontal="center"/>
    </xf>
  </cellXfs>
  <cellStyles count="4">
    <cellStyle name="百分比" xfId="2" builtinId="5"/>
    <cellStyle name="常规" xfId="0" builtinId="0"/>
    <cellStyle name="常规 2" xfId="3" xr:uid="{00000000-0005-0000-0000-000003000000}"/>
    <cellStyle name="货币" xfId="1" builtinId="4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MW Effient Frontier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'EFFICIENT FRONTIER ANALYSIS'!$R$26:$R$76</c:f>
              <c:numCache>
                <c:formatCode>0.00</c:formatCode>
                <c:ptCount val="51"/>
                <c:pt idx="0">
                  <c:v>18.187652287480724</c:v>
                </c:pt>
                <c:pt idx="1">
                  <c:v>17.84798098315331</c:v>
                </c:pt>
                <c:pt idx="2">
                  <c:v>17.508781591325473</c:v>
                </c:pt>
                <c:pt idx="3">
                  <c:v>17.17008208027876</c:v>
                </c:pt>
                <c:pt idx="4">
                  <c:v>16.831912626535292</c:v>
                </c:pt>
                <c:pt idx="5">
                  <c:v>16.494305832139862</c:v>
                </c:pt>
                <c:pt idx="6">
                  <c:v>16.157296967439954</c:v>
                </c:pt>
                <c:pt idx="7">
                  <c:v>15.820924242817227</c:v>
                </c:pt>
                <c:pt idx="8">
                  <c:v>15.485229113349138</c:v>
                </c:pt>
                <c:pt idx="9">
                  <c:v>15.150256620991806</c:v>
                </c:pt>
                <c:pt idx="10">
                  <c:v>14.816055779590354</c:v>
                </c:pt>
                <c:pt idx="11">
                  <c:v>14.482680008858713</c:v>
                </c:pt>
                <c:pt idx="12">
                  <c:v>14.15018762444849</c:v>
                </c:pt>
                <c:pt idx="13">
                  <c:v>13.818642392370935</c:v>
                </c:pt>
                <c:pt idx="14">
                  <c:v>13.488114157375866</c:v>
                </c:pt>
                <c:pt idx="15">
                  <c:v>13.158679556460514</c:v>
                </c:pt>
                <c:pt idx="16">
                  <c:v>12.830422830517195</c:v>
                </c:pt>
                <c:pt idx="17">
                  <c:v>12.503436749275702</c:v>
                </c:pt>
                <c:pt idx="18">
                  <c:v>12.17782366720162</c:v>
                </c:pt>
                <c:pt idx="19">
                  <c:v>11.853696730927865</c:v>
                </c:pt>
                <c:pt idx="20">
                  <c:v>11.531181262177803</c:v>
                </c:pt>
                <c:pt idx="21">
                  <c:v>11.210416344035904</c:v>
                </c:pt>
                <c:pt idx="22">
                  <c:v>10.891556642881245</c:v>
                </c:pt>
                <c:pt idx="23">
                  <c:v>10.574774503344749</c:v>
                </c:pt>
                <c:pt idx="24">
                  <c:v>10.260262359273574</c:v>
                </c:pt>
                <c:pt idx="25">
                  <c:v>9.9482355098127098</c:v>
                </c:pt>
                <c:pt idx="26">
                  <c:v>9.6389353161698956</c:v>
                </c:pt>
                <c:pt idx="27">
                  <c:v>9.3326328810766128</c:v>
                </c:pt>
                <c:pt idx="28">
                  <c:v>9.0296332788011853</c:v>
                </c:pt>
                <c:pt idx="29">
                  <c:v>8.7302804078306497</c:v>
                </c:pt>
                <c:pt idx="30">
                  <c:v>8.4349625394607415</c:v>
                </c:pt>
                <c:pt idx="31">
                  <c:v>8.1441186311286398</c:v>
                </c:pt>
                <c:pt idx="32">
                  <c:v>7.8582454598163096</c:v>
                </c:pt>
                <c:pt idx="33">
                  <c:v>7.5779056030401319</c:v>
                </c:pt>
                <c:pt idx="34">
                  <c:v>7.3037362454764727</c:v>
                </c:pt>
                <c:pt idx="35">
                  <c:v>7.0364587081445258</c:v>
                </c:pt>
                <c:pt idx="36">
                  <c:v>6.7768884712967985</c:v>
                </c:pt>
                <c:pt idx="37">
                  <c:v>6.5259452760810337</c:v>
                </c:pt>
                <c:pt idx="38">
                  <c:v>6.2846626268599035</c:v>
                </c:pt>
                <c:pt idx="39">
                  <c:v>6.0541956619794908</c:v>
                </c:pt>
                <c:pt idx="40">
                  <c:v>5.8358259129834664</c:v>
                </c:pt>
                <c:pt idx="41">
                  <c:v>5.6309609528750704</c:v>
                </c:pt>
                <c:pt idx="42">
                  <c:v>5.4411264102200851</c:v>
                </c:pt>
                <c:pt idx="43">
                  <c:v>5.2679474336995513</c:v>
                </c:pt>
                <c:pt idx="44">
                  <c:v>5.1131166532248429</c:v>
                </c:pt>
                <c:pt idx="45">
                  <c:v>4.9783462964909493</c:v>
                </c:pt>
                <c:pt idx="46">
                  <c:v>4.8653036882728546</c:v>
                </c:pt>
                <c:pt idx="47">
                  <c:v>4.7755320440233797</c:v>
                </c:pt>
                <c:pt idx="48">
                  <c:v>4.7103620689818708</c:v>
                </c:pt>
                <c:pt idx="49">
                  <c:v>4.6708236459267658</c:v>
                </c:pt>
                <c:pt idx="50">
                  <c:v>4.6575695845398188</c:v>
                </c:pt>
              </c:numCache>
            </c:numRef>
          </c:xVal>
          <c:yVal>
            <c:numRef>
              <c:f>'EFFICIENT FRONTIER ANALYSIS'!$S$26:$S$76</c:f>
              <c:numCache>
                <c:formatCode>General</c:formatCode>
                <c:ptCount val="51"/>
                <c:pt idx="0">
                  <c:v>6.1632300157687983</c:v>
                </c:pt>
                <c:pt idx="1">
                  <c:v>6.071984254211845</c:v>
                </c:pt>
                <c:pt idx="2">
                  <c:v>5.9807384926548881</c:v>
                </c:pt>
                <c:pt idx="3">
                  <c:v>5.8894927310979339</c:v>
                </c:pt>
                <c:pt idx="4">
                  <c:v>5.7982469695409797</c:v>
                </c:pt>
                <c:pt idx="5">
                  <c:v>5.7070012079840264</c:v>
                </c:pt>
                <c:pt idx="6">
                  <c:v>5.6157554464270723</c:v>
                </c:pt>
                <c:pt idx="7">
                  <c:v>5.5245096848701172</c:v>
                </c:pt>
                <c:pt idx="8">
                  <c:v>5.4332639233131639</c:v>
                </c:pt>
                <c:pt idx="9">
                  <c:v>5.342018161756207</c:v>
                </c:pt>
                <c:pt idx="10">
                  <c:v>5.2507724001992537</c:v>
                </c:pt>
                <c:pt idx="11">
                  <c:v>5.1595266386422995</c:v>
                </c:pt>
                <c:pt idx="12">
                  <c:v>5.0682808770853436</c:v>
                </c:pt>
                <c:pt idx="13">
                  <c:v>4.9770351155283912</c:v>
                </c:pt>
                <c:pt idx="14">
                  <c:v>4.885789353971437</c:v>
                </c:pt>
                <c:pt idx="15">
                  <c:v>4.7945435924144828</c:v>
                </c:pt>
                <c:pt idx="16">
                  <c:v>4.7032978308575286</c:v>
                </c:pt>
                <c:pt idx="17">
                  <c:v>4.6120520693005735</c:v>
                </c:pt>
                <c:pt idx="18">
                  <c:v>4.5208063077436194</c:v>
                </c:pt>
                <c:pt idx="19">
                  <c:v>4.4295605461866652</c:v>
                </c:pt>
                <c:pt idx="20">
                  <c:v>4.3383147846297101</c:v>
                </c:pt>
                <c:pt idx="21">
                  <c:v>4.2470690230727568</c:v>
                </c:pt>
                <c:pt idx="22">
                  <c:v>4.1558232615158008</c:v>
                </c:pt>
                <c:pt idx="23">
                  <c:v>4.0645774999588475</c:v>
                </c:pt>
                <c:pt idx="24">
                  <c:v>3.9733317384018934</c:v>
                </c:pt>
                <c:pt idx="25">
                  <c:v>3.8820859768449392</c:v>
                </c:pt>
                <c:pt idx="26">
                  <c:v>3.790840215287985</c:v>
                </c:pt>
                <c:pt idx="27">
                  <c:v>3.6995944537310308</c:v>
                </c:pt>
                <c:pt idx="28">
                  <c:v>3.6083486921740766</c:v>
                </c:pt>
                <c:pt idx="29">
                  <c:v>3.5171029306171211</c:v>
                </c:pt>
                <c:pt idx="30">
                  <c:v>3.4258571690601682</c:v>
                </c:pt>
                <c:pt idx="31">
                  <c:v>3.3346114075032132</c:v>
                </c:pt>
                <c:pt idx="32">
                  <c:v>3.2433656459462594</c:v>
                </c:pt>
                <c:pt idx="33">
                  <c:v>3.1521198843893043</c:v>
                </c:pt>
                <c:pt idx="34">
                  <c:v>3.0608741228323502</c:v>
                </c:pt>
                <c:pt idx="35">
                  <c:v>2.969628361275396</c:v>
                </c:pt>
                <c:pt idx="36">
                  <c:v>2.8783825997184418</c:v>
                </c:pt>
                <c:pt idx="37">
                  <c:v>2.7871368381614872</c:v>
                </c:pt>
                <c:pt idx="38">
                  <c:v>2.695891076604533</c:v>
                </c:pt>
                <c:pt idx="39">
                  <c:v>2.6046453150475788</c:v>
                </c:pt>
                <c:pt idx="40">
                  <c:v>2.5133995534906246</c:v>
                </c:pt>
                <c:pt idx="41">
                  <c:v>2.42215379193367</c:v>
                </c:pt>
                <c:pt idx="42">
                  <c:v>2.3309080303767158</c:v>
                </c:pt>
                <c:pt idx="43">
                  <c:v>2.2396622688197616</c:v>
                </c:pt>
                <c:pt idx="44">
                  <c:v>2.148416507262807</c:v>
                </c:pt>
                <c:pt idx="45">
                  <c:v>2.0571707457058528</c:v>
                </c:pt>
                <c:pt idx="46">
                  <c:v>1.9659249841488982</c:v>
                </c:pt>
                <c:pt idx="47">
                  <c:v>1.8746792225919446</c:v>
                </c:pt>
                <c:pt idx="48">
                  <c:v>1.7834334610349893</c:v>
                </c:pt>
                <c:pt idx="49">
                  <c:v>1.6921876994780354</c:v>
                </c:pt>
                <c:pt idx="50">
                  <c:v>1.6009419379210816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75-4A46-947D-0670954E0362}"/>
            </c:ext>
          </c:extLst>
        </c:ser>
        <c:ser>
          <c:idx val="1"/>
          <c:order val="1"/>
          <c:tx>
            <c:v>RF Efficient Frontier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'EFFICIENT FRONTIER ANALYSIS'!$E$61:$E$62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5.8435802543762945</c:v>
                </c:pt>
              </c:numCache>
            </c:numRef>
          </c:xVal>
          <c:yVal>
            <c:numRef>
              <c:f>'EFFICIENT FRONTIER ANALYSIS'!$F$61:$F$62</c:f>
              <c:numCache>
                <c:formatCode>0.00</c:formatCode>
                <c:ptCount val="2"/>
                <c:pt idx="0">
                  <c:v>5.8314626421251958E-3</c:v>
                </c:pt>
                <c:pt idx="1">
                  <c:v>2.51673534908609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75-4A46-947D-0670954E0362}"/>
            </c:ext>
          </c:extLst>
        </c:ser>
        <c:ser>
          <c:idx val="2"/>
          <c:order val="2"/>
          <c:tx>
            <c:v>MW Point 1 - Min Variance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'EFFICIENT FRONTIER ANALYSIS'!$K$23</c:f>
              <c:numCache>
                <c:formatCode>0.00</c:formatCode>
                <c:ptCount val="1"/>
                <c:pt idx="0">
                  <c:v>4.6575695845398188</c:v>
                </c:pt>
              </c:numCache>
            </c:numRef>
          </c:xVal>
          <c:yVal>
            <c:numRef>
              <c:f>'EFFICIENT FRONTIER ANALYSIS'!$K$21</c:f>
              <c:numCache>
                <c:formatCode>0.00</c:formatCode>
                <c:ptCount val="1"/>
                <c:pt idx="0">
                  <c:v>1.6009419379210816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5-4A46-947D-0670954E0362}"/>
            </c:ext>
          </c:extLst>
        </c:ser>
        <c:ser>
          <c:idx val="3"/>
          <c:order val="3"/>
          <c:tx>
            <c:v>MW Point 2 - 0% Tangent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'EFFICIENT FRONTIER ANALYSIS'!$K$37</c:f>
              <c:numCache>
                <c:formatCode>0.00</c:formatCode>
                <c:ptCount val="1"/>
                <c:pt idx="0">
                  <c:v>5.8358259129834664</c:v>
                </c:pt>
              </c:numCache>
            </c:numRef>
          </c:xVal>
          <c:yVal>
            <c:numRef>
              <c:f>'EFFICIENT FRONTIER ANALYSIS'!$K$35</c:f>
              <c:numCache>
                <c:formatCode>0.00</c:formatCode>
                <c:ptCount val="1"/>
                <c:pt idx="0">
                  <c:v>2.5133995534906246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75-4A46-947D-0670954E0362}"/>
            </c:ext>
          </c:extLst>
        </c:ser>
        <c:ser>
          <c:idx val="4"/>
          <c:order val="4"/>
          <c:tx>
            <c:v>RF - Tangent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'EFFICIENT FRONTIER ANALYSIS'!$K$51</c:f>
              <c:numCache>
                <c:formatCode>0.00</c:formatCode>
                <c:ptCount val="1"/>
                <c:pt idx="0">
                  <c:v>5.8435802543762945</c:v>
                </c:pt>
              </c:numCache>
            </c:numRef>
          </c:xVal>
          <c:yVal>
            <c:numRef>
              <c:f>'EFFICIENT FRONTIER ANALYSIS'!$K$49</c:f>
              <c:numCache>
                <c:formatCode>0.00</c:formatCode>
                <c:ptCount val="1"/>
                <c:pt idx="0">
                  <c:v>2.51673534908609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75-4A46-947D-0670954E0362}"/>
            </c:ext>
          </c:extLst>
        </c:ser>
        <c:ser>
          <c:idx val="5"/>
          <c:order val="5"/>
          <c:tx>
            <c:v>INV. RECOM.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'EFFICIENT FRONTIER ANALYSIS'!$B$17</c:f>
              <c:numCache>
                <c:formatCode>0.0</c:formatCode>
                <c:ptCount val="1"/>
                <c:pt idx="0">
                  <c:v>3.1801261224350537</c:v>
                </c:pt>
              </c:numCache>
            </c:numRef>
          </c:xVal>
          <c:yVal>
            <c:numRef>
              <c:f>'EFFICIENT FRONTIER ANALYSIS'!$B$14</c:f>
              <c:numCache>
                <c:formatCode>0.00</c:formatCode>
                <c:ptCount val="1"/>
                <c:pt idx="0">
                  <c:v>1.3722867336592626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D75-4A46-947D-0670954E0362}"/>
            </c:ext>
          </c:extLst>
        </c:ser>
        <c:ser>
          <c:idx val="6"/>
          <c:order val="6"/>
          <c:tx>
            <c:v>Risk Free Monthly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'EFFICIENT FRONTIER ANALYSIS'!$E$61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'EFFICIENT FRONTIER ANALYSIS'!$F$61</c:f>
              <c:numCache>
                <c:formatCode>0.00</c:formatCode>
                <c:ptCount val="1"/>
                <c:pt idx="0">
                  <c:v>5.8314626421251958E-3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D75-4A46-947D-0670954E0362}"/>
            </c:ext>
          </c:extLst>
        </c:ser>
        <c:ser>
          <c:idx val="7"/>
          <c:order val="7"/>
          <c:tx>
            <c:v>Assets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CN"/>
                      <a:t>AAPL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D75-4A46-947D-0670954E03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zh-CN"/>
                      <a:t>CVS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D75-4A46-947D-0670954E03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altLang="zh-CN"/>
                      <a:t>MSFT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D75-4A46-947D-0670954E03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altLang="zh-CN"/>
                      <a:t>GOOGL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D75-4A46-947D-0670954E03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altLang="zh-CN"/>
                      <a:t>COST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D75-4A46-947D-0670954E03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altLang="zh-CN"/>
                      <a:t>AMZN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D75-4A46-947D-0670954E03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altLang="zh-CN"/>
                      <a:t>SBUX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D75-4A46-947D-0670954E03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altLang="zh-CN"/>
                      <a:t>NFLX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D75-4A46-947D-0670954E03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altLang="zh-CN"/>
                      <a:t>NKE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D75-4A46-947D-0670954E03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'EFFICIENT FRONTIER ANALYSIS'!$C$4:$C$12</c:f>
              <c:numCache>
                <c:formatCode>0.00</c:formatCode>
                <c:ptCount val="9"/>
                <c:pt idx="0">
                  <c:v>9.7098579048187705</c:v>
                </c:pt>
                <c:pt idx="1">
                  <c:v>-1</c:v>
                </c:pt>
                <c:pt idx="2">
                  <c:v>-1</c:v>
                </c:pt>
                <c:pt idx="3">
                  <c:v>8.7576775015762305</c:v>
                </c:pt>
                <c:pt idx="4">
                  <c:v>5.3090627212203803</c:v>
                </c:pt>
                <c:pt idx="5">
                  <c:v>10.522229674734101</c:v>
                </c:pt>
                <c:pt idx="6">
                  <c:v>-1</c:v>
                </c:pt>
                <c:pt idx="7">
                  <c:v>15.3898380907657</c:v>
                </c:pt>
                <c:pt idx="8">
                  <c:v>6.3241099687486804</c:v>
                </c:pt>
              </c:numCache>
            </c:numRef>
          </c:xVal>
          <c:yVal>
            <c:numRef>
              <c:f>'EFFICIENT FRONTIER ANALYSIS'!$B$4:$B$12</c:f>
              <c:numCache>
                <c:formatCode>0.00</c:formatCode>
                <c:ptCount val="9"/>
                <c:pt idx="0">
                  <c:v>3.1525566991737199</c:v>
                </c:pt>
                <c:pt idx="1">
                  <c:v>-1</c:v>
                </c:pt>
                <c:pt idx="2">
                  <c:v>-1</c:v>
                </c:pt>
                <c:pt idx="3">
                  <c:v>2.1705397575880898</c:v>
                </c:pt>
                <c:pt idx="4">
                  <c:v>1.2495288605138</c:v>
                </c:pt>
                <c:pt idx="5">
                  <c:v>2.7674170282091</c:v>
                </c:pt>
                <c:pt idx="6">
                  <c:v>-1</c:v>
                </c:pt>
                <c:pt idx="7">
                  <c:v>3.8892750361553401</c:v>
                </c:pt>
                <c:pt idx="8">
                  <c:v>1.5037438833802399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75-4A46-947D-0670954E0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0416"/>
        <c:axId val="193181952"/>
      </c:scatterChart>
      <c:valAx>
        <c:axId val="1931804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181952"/>
        <c:crosses val="autoZero"/>
        <c:crossBetween val="midCat"/>
      </c:valAx>
      <c:valAx>
        <c:axId val="193181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180416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1</xdr:row>
      <xdr:rowOff>14286</xdr:rowOff>
    </xdr:from>
    <xdr:to>
      <xdr:col>9</xdr:col>
      <xdr:colOff>1076325</xdr:colOff>
      <xdr:row>20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92B95D-21D9-49C3-80ED-DAC62B55A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D11"/>
  <sheetViews>
    <sheetView zoomScale="159" zoomScaleNormal="100" workbookViewId="0">
      <selection activeCell="C24" sqref="C24"/>
    </sheetView>
  </sheetViews>
  <sheetFormatPr baseColWidth="10" defaultColWidth="8.83203125" defaultRowHeight="14"/>
  <cols>
    <col min="1" max="1" width="7.83203125" customWidth="1"/>
    <col min="2" max="2" width="14.6640625" customWidth="1"/>
    <col min="3" max="3" width="15.1640625" style="7" customWidth="1"/>
  </cols>
  <sheetData>
    <row r="1" spans="1:4" ht="15" thickBot="1">
      <c r="A1" s="105"/>
      <c r="B1" s="106" t="s">
        <v>52</v>
      </c>
      <c r="C1" s="107" t="s">
        <v>63</v>
      </c>
      <c r="D1" s="105"/>
    </row>
    <row r="2" spans="1:4" ht="15" thickTop="1">
      <c r="A2" s="105">
        <v>1</v>
      </c>
      <c r="B2" s="105" t="s">
        <v>81</v>
      </c>
      <c r="C2" s="108" t="s">
        <v>82</v>
      </c>
      <c r="D2" s="105"/>
    </row>
    <row r="3" spans="1:4">
      <c r="A3" s="105">
        <f>A2+1</f>
        <v>2</v>
      </c>
      <c r="B3" s="105" t="s">
        <v>83</v>
      </c>
      <c r="C3" s="108" t="s">
        <v>84</v>
      </c>
      <c r="D3" s="105"/>
    </row>
    <row r="4" spans="1:4">
      <c r="A4" s="105">
        <f t="shared" ref="A4:A10" si="0">A3+1</f>
        <v>3</v>
      </c>
      <c r="B4" s="105" t="s">
        <v>85</v>
      </c>
      <c r="C4" s="108" t="s">
        <v>86</v>
      </c>
      <c r="D4" s="105"/>
    </row>
    <row r="5" spans="1:4">
      <c r="A5" s="105">
        <f t="shared" si="0"/>
        <v>4</v>
      </c>
      <c r="B5" s="105" t="s">
        <v>87</v>
      </c>
      <c r="C5" s="104" t="s">
        <v>88</v>
      </c>
      <c r="D5" s="105"/>
    </row>
    <row r="6" spans="1:4">
      <c r="A6" s="105">
        <f t="shared" si="0"/>
        <v>5</v>
      </c>
      <c r="B6" s="105" t="s">
        <v>89</v>
      </c>
      <c r="C6" s="108" t="s">
        <v>90</v>
      </c>
      <c r="D6" s="105"/>
    </row>
    <row r="7" spans="1:4">
      <c r="A7" s="105">
        <f t="shared" si="0"/>
        <v>6</v>
      </c>
      <c r="B7" s="105" t="s">
        <v>91</v>
      </c>
      <c r="C7" s="108" t="s">
        <v>92</v>
      </c>
      <c r="D7" s="105"/>
    </row>
    <row r="8" spans="1:4">
      <c r="A8" s="105">
        <f t="shared" si="0"/>
        <v>7</v>
      </c>
      <c r="B8" s="105" t="s">
        <v>93</v>
      </c>
      <c r="C8" s="108" t="s">
        <v>94</v>
      </c>
      <c r="D8" s="105"/>
    </row>
    <row r="9" spans="1:4">
      <c r="A9" s="105">
        <f t="shared" si="0"/>
        <v>8</v>
      </c>
      <c r="B9" s="105" t="s">
        <v>95</v>
      </c>
      <c r="C9" s="108" t="s">
        <v>96</v>
      </c>
      <c r="D9" s="105"/>
    </row>
    <row r="10" spans="1:4" ht="15" thickBot="1">
      <c r="A10" s="105">
        <f t="shared" si="0"/>
        <v>9</v>
      </c>
      <c r="B10" s="109" t="s">
        <v>97</v>
      </c>
      <c r="C10" s="111" t="s">
        <v>98</v>
      </c>
      <c r="D10" s="105"/>
    </row>
    <row r="11" spans="1:4">
      <c r="A11" s="105"/>
      <c r="B11" s="105"/>
      <c r="C11" s="110"/>
      <c r="D11" s="105"/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10"/>
  <sheetViews>
    <sheetView zoomScale="125" workbookViewId="0">
      <selection activeCell="A15" sqref="A15"/>
    </sheetView>
  </sheetViews>
  <sheetFormatPr baseColWidth="10" defaultColWidth="8.83203125" defaultRowHeight="14"/>
  <cols>
    <col min="1" max="1" width="19" customWidth="1"/>
    <col min="7" max="7" width="14.1640625" customWidth="1"/>
  </cols>
  <sheetData>
    <row r="1" spans="1:16" ht="15" thickBot="1">
      <c r="B1" t="s">
        <v>0</v>
      </c>
      <c r="C1" t="s">
        <v>2</v>
      </c>
      <c r="E1" s="7" t="s">
        <v>67</v>
      </c>
      <c r="F1" s="7"/>
      <c r="G1" s="4" t="s">
        <v>1</v>
      </c>
      <c r="H1" s="3" t="str">
        <f t="array" ref="H1:P1">TRANSPOSE(A2:A10)</f>
        <v>APPLE</v>
      </c>
      <c r="I1" s="3" t="str">
        <v>SUMSANG</v>
      </c>
      <c r="J1" s="3" t="str">
        <v>MICROSOFT</v>
      </c>
      <c r="K1" s="3" t="str">
        <v>ALPHABET</v>
      </c>
      <c r="L1" s="3" t="str">
        <v>KWEICHOU MOUTAI</v>
      </c>
      <c r="M1" s="3" t="str">
        <v>AMAZON</v>
      </c>
      <c r="N1" s="3" t="str">
        <v>STARBUCKS</v>
      </c>
      <c r="O1" s="3" t="str">
        <v>NETFLIX</v>
      </c>
      <c r="P1" s="3" t="str">
        <v>NIKE</v>
      </c>
    </row>
    <row r="2" spans="1:16">
      <c r="A2" s="108" t="s">
        <v>72</v>
      </c>
      <c r="B2" s="112">
        <v>3.1525566991737199</v>
      </c>
      <c r="C2" s="2">
        <v>9.7098579048187705</v>
      </c>
      <c r="D2" s="65"/>
      <c r="E2" s="38">
        <f>POWER(1+B2/100,12)-1</f>
        <v>0.45130924027848507</v>
      </c>
      <c r="F2" s="38"/>
      <c r="G2" s="3" t="str">
        <f t="array" ref="G2:G10">A2:A10</f>
        <v>APPLE</v>
      </c>
      <c r="H2" s="77">
        <v>94.281340531771406</v>
      </c>
      <c r="I2" s="78">
        <v>16.133816531743499</v>
      </c>
      <c r="J2" s="78">
        <v>26.797194177456401</v>
      </c>
      <c r="K2" s="78">
        <v>41.059966749110799</v>
      </c>
      <c r="L2" s="78">
        <v>20.5372047349192</v>
      </c>
      <c r="M2" s="78">
        <v>34.323313542058401</v>
      </c>
      <c r="N2" s="78">
        <v>23.946690349903701</v>
      </c>
      <c r="O2" s="78">
        <v>12.511158459504401</v>
      </c>
      <c r="P2" s="79">
        <v>17.581467458766198</v>
      </c>
    </row>
    <row r="3" spans="1:16">
      <c r="A3" s="108" t="s">
        <v>73</v>
      </c>
      <c r="B3" s="112">
        <v>0.86354945282973306</v>
      </c>
      <c r="C3" s="2">
        <v>6.5830115861553997</v>
      </c>
      <c r="D3" s="65"/>
      <c r="E3" s="38">
        <f t="shared" ref="E3:E10" si="0">POWER(1+B3/100,12)-1</f>
        <v>0.10869213406393707</v>
      </c>
      <c r="F3" s="38"/>
      <c r="G3" s="3" t="str">
        <v>SUMSANG</v>
      </c>
      <c r="H3" s="80">
        <v>16.133816531743499</v>
      </c>
      <c r="I3" s="65">
        <v>43.336041543456197</v>
      </c>
      <c r="J3" s="65">
        <v>12.278992951771199</v>
      </c>
      <c r="K3" s="65">
        <v>12.95201575367</v>
      </c>
      <c r="L3" s="65">
        <v>12.888226929048701</v>
      </c>
      <c r="M3" s="65">
        <v>14.189364995401601</v>
      </c>
      <c r="N3" s="65">
        <v>14.426723058336</v>
      </c>
      <c r="O3" s="65">
        <v>5.7205977549420304</v>
      </c>
      <c r="P3" s="81">
        <v>11.462810125745101</v>
      </c>
    </row>
    <row r="4" spans="1:16">
      <c r="A4" s="108" t="s">
        <v>74</v>
      </c>
      <c r="B4" s="112">
        <v>1.343303756818</v>
      </c>
      <c r="C4" s="2">
        <v>6.5086183867107499</v>
      </c>
      <c r="D4" s="65"/>
      <c r="E4" s="38">
        <f t="shared" si="0"/>
        <v>0.17365565708787711</v>
      </c>
      <c r="F4" s="38"/>
      <c r="G4" s="3" t="str">
        <v>MICROSOFT</v>
      </c>
      <c r="H4" s="80">
        <v>26.797194177456401</v>
      </c>
      <c r="I4" s="65">
        <v>12.278992951771199</v>
      </c>
      <c r="J4" s="65">
        <v>42.362113303829197</v>
      </c>
      <c r="K4" s="65">
        <v>26.139419617390601</v>
      </c>
      <c r="L4" s="65">
        <v>12.121284208536</v>
      </c>
      <c r="M4" s="65">
        <v>27.384205317623799</v>
      </c>
      <c r="N4" s="65">
        <v>16.710236183439299</v>
      </c>
      <c r="O4" s="65">
        <v>21.1908949137704</v>
      </c>
      <c r="P4" s="81">
        <v>13.409333971343299</v>
      </c>
    </row>
    <row r="5" spans="1:16">
      <c r="A5" s="113" t="s">
        <v>75</v>
      </c>
      <c r="B5" s="112">
        <v>2.1705397575880898</v>
      </c>
      <c r="C5" s="2">
        <v>8.7576775015762305</v>
      </c>
      <c r="D5" s="65"/>
      <c r="E5" s="38">
        <f t="shared" si="0"/>
        <v>0.29392246373478526</v>
      </c>
      <c r="F5" s="38"/>
      <c r="G5" s="3" t="str">
        <v>ALPHABET</v>
      </c>
      <c r="H5" s="80">
        <v>41.059966749110799</v>
      </c>
      <c r="I5" s="65">
        <v>12.95201575367</v>
      </c>
      <c r="J5" s="65">
        <v>26.139419617390601</v>
      </c>
      <c r="K5" s="65">
        <v>76.696915221614503</v>
      </c>
      <c r="L5" s="65">
        <v>20.286783701851899</v>
      </c>
      <c r="M5" s="65">
        <v>31.656090442064901</v>
      </c>
      <c r="N5" s="65">
        <v>27.5679789447967</v>
      </c>
      <c r="O5" s="65">
        <v>9.2169261008411194</v>
      </c>
      <c r="P5" s="81">
        <v>13.614682487105799</v>
      </c>
    </row>
    <row r="6" spans="1:16">
      <c r="A6" s="108" t="s">
        <v>76</v>
      </c>
      <c r="B6" s="112">
        <v>1.2495288605138</v>
      </c>
      <c r="C6" s="2">
        <v>5.3090627212203803</v>
      </c>
      <c r="D6" s="65"/>
      <c r="E6" s="38">
        <f t="shared" si="0"/>
        <v>0.16068970429589147</v>
      </c>
      <c r="F6" s="38"/>
      <c r="G6" s="3" t="str">
        <v>KWEICHOU MOUTAI</v>
      </c>
      <c r="H6" s="80">
        <v>20.5372047349192</v>
      </c>
      <c r="I6" s="65">
        <v>12.888226929048701</v>
      </c>
      <c r="J6" s="65">
        <v>12.121284208536</v>
      </c>
      <c r="K6" s="65">
        <v>20.286783701851899</v>
      </c>
      <c r="L6" s="65">
        <v>28.186146977851902</v>
      </c>
      <c r="M6" s="65">
        <v>17.218847538066999</v>
      </c>
      <c r="N6" s="65">
        <v>19.399984342235499</v>
      </c>
      <c r="O6" s="65">
        <v>1.8097199321714901</v>
      </c>
      <c r="P6" s="81">
        <v>14.3492424358622</v>
      </c>
    </row>
    <row r="7" spans="1:16">
      <c r="A7" s="108" t="s">
        <v>77</v>
      </c>
      <c r="B7" s="112">
        <v>2.7674170282091</v>
      </c>
      <c r="C7" s="2">
        <v>10.522229674734101</v>
      </c>
      <c r="D7" s="65"/>
      <c r="E7" s="38">
        <f t="shared" si="0"/>
        <v>0.38760319932355713</v>
      </c>
      <c r="F7" s="38"/>
      <c r="G7" s="3" t="str">
        <v>AMAZON</v>
      </c>
      <c r="H7" s="80">
        <v>34.323313542058401</v>
      </c>
      <c r="I7" s="65">
        <v>14.189364995401601</v>
      </c>
      <c r="J7" s="65">
        <v>27.384205317623799</v>
      </c>
      <c r="K7" s="65">
        <v>31.656090442064901</v>
      </c>
      <c r="L7" s="65">
        <v>17.218847538066999</v>
      </c>
      <c r="M7" s="65">
        <v>110.717317327854</v>
      </c>
      <c r="N7" s="65">
        <v>23.831976495980101</v>
      </c>
      <c r="O7" s="65">
        <v>55.573383644327699</v>
      </c>
      <c r="P7" s="81">
        <v>16.449932635577099</v>
      </c>
    </row>
    <row r="8" spans="1:16">
      <c r="A8" s="108" t="s">
        <v>78</v>
      </c>
      <c r="B8" s="112">
        <v>1.48119706729621</v>
      </c>
      <c r="C8" s="2">
        <v>7.7693611792460802</v>
      </c>
      <c r="D8" s="65"/>
      <c r="E8" s="38">
        <f t="shared" si="0"/>
        <v>0.19296301048110642</v>
      </c>
      <c r="F8" s="38"/>
      <c r="G8" s="3" t="str">
        <v>STARBUCKS</v>
      </c>
      <c r="H8" s="80">
        <v>23.946690349903701</v>
      </c>
      <c r="I8" s="65">
        <v>14.426723058336</v>
      </c>
      <c r="J8" s="65">
        <v>16.710236183439299</v>
      </c>
      <c r="K8" s="65">
        <v>27.5679789447967</v>
      </c>
      <c r="L8" s="65">
        <v>19.399984342235499</v>
      </c>
      <c r="M8" s="65">
        <v>23.831976495980101</v>
      </c>
      <c r="N8" s="65">
        <v>60.362973133576098</v>
      </c>
      <c r="O8" s="65">
        <v>12.9900674770705</v>
      </c>
      <c r="P8" s="81">
        <v>19.2746216554828</v>
      </c>
    </row>
    <row r="9" spans="1:16">
      <c r="A9" s="108" t="s">
        <v>79</v>
      </c>
      <c r="B9" s="112">
        <v>3.8892750361553401</v>
      </c>
      <c r="C9" s="2">
        <v>15.3898380907657</v>
      </c>
      <c r="D9" s="65"/>
      <c r="E9" s="38">
        <f t="shared" si="0"/>
        <v>0.58069685076681776</v>
      </c>
      <c r="F9" s="38"/>
      <c r="G9" s="3" t="str">
        <v>NETFLIX</v>
      </c>
      <c r="H9" s="80">
        <v>12.511158459504401</v>
      </c>
      <c r="I9" s="65">
        <v>5.7205977549420304</v>
      </c>
      <c r="J9" s="65">
        <v>21.1908949137704</v>
      </c>
      <c r="K9" s="65">
        <v>9.2169261008411194</v>
      </c>
      <c r="L9" s="65">
        <v>1.8097199321714901</v>
      </c>
      <c r="M9" s="65">
        <v>55.573383644327699</v>
      </c>
      <c r="N9" s="65">
        <v>12.9900674770705</v>
      </c>
      <c r="O9" s="65">
        <v>236.84711645998399</v>
      </c>
      <c r="P9" s="81">
        <v>12.645819240399099</v>
      </c>
    </row>
    <row r="10" spans="1:16" ht="15" thickBot="1">
      <c r="A10" s="111" t="s">
        <v>80</v>
      </c>
      <c r="B10" s="112">
        <v>1.5037438833802399</v>
      </c>
      <c r="C10" s="2">
        <v>6.3241099687486804</v>
      </c>
      <c r="D10" s="65"/>
      <c r="E10" s="38">
        <f t="shared" si="0"/>
        <v>0.19614749125027919</v>
      </c>
      <c r="F10" s="38"/>
      <c r="G10" s="3" t="str">
        <v>NIKE</v>
      </c>
      <c r="H10" s="82">
        <v>17.581467458766198</v>
      </c>
      <c r="I10" s="83">
        <v>11.462810125745101</v>
      </c>
      <c r="J10" s="83">
        <v>13.409333971343299</v>
      </c>
      <c r="K10" s="83">
        <v>13.614682487105799</v>
      </c>
      <c r="L10" s="83">
        <v>14.3492424358622</v>
      </c>
      <c r="M10" s="83">
        <v>16.449932635577099</v>
      </c>
      <c r="N10" s="83">
        <v>19.2746216554828</v>
      </c>
      <c r="O10" s="83">
        <v>12.645819240399099</v>
      </c>
      <c r="P10" s="84">
        <v>39.994366896826399</v>
      </c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0"/>
  <sheetViews>
    <sheetView zoomScale="138" workbookViewId="0">
      <selection activeCell="G3" sqref="G3"/>
    </sheetView>
  </sheetViews>
  <sheetFormatPr baseColWidth="10" defaultColWidth="8.83203125" defaultRowHeight="14"/>
  <cols>
    <col min="5" max="5" width="11.5" bestFit="1" customWidth="1"/>
  </cols>
  <sheetData>
    <row r="1" spans="1:14">
      <c r="A1" s="7">
        <v>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</row>
    <row r="2" spans="1:14" ht="15">
      <c r="A2" s="13" t="s">
        <v>41</v>
      </c>
      <c r="B2" s="13" t="s">
        <v>26</v>
      </c>
      <c r="C2" s="13" t="s">
        <v>69</v>
      </c>
      <c r="D2" s="13" t="s">
        <v>27</v>
      </c>
      <c r="E2" s="13" t="s">
        <v>28</v>
      </c>
      <c r="F2" s="13" t="s">
        <v>29</v>
      </c>
      <c r="G2" s="13" t="s">
        <v>30</v>
      </c>
      <c r="H2" s="13" t="s">
        <v>31</v>
      </c>
      <c r="I2" s="13" t="s">
        <v>32</v>
      </c>
      <c r="J2" s="13" t="s">
        <v>33</v>
      </c>
      <c r="K2" s="13" t="s">
        <v>34</v>
      </c>
      <c r="L2" s="13" t="s">
        <v>35</v>
      </c>
      <c r="M2" s="13" t="s">
        <v>36</v>
      </c>
    </row>
    <row r="3" spans="1:14">
      <c r="A3" s="33">
        <f t="shared" ref="A3" si="0">100*(POWER(1+A7/100,1/12)-1)</f>
        <v>0</v>
      </c>
      <c r="B3" s="33">
        <f>100*(POWER(1+B7/100,1/12)-1)</f>
        <v>1.6665139084048874E-3</v>
      </c>
      <c r="C3" s="33">
        <f t="shared" ref="C3:M3" si="1">100*(POWER(1+C7/100,1/12)-1)</f>
        <v>1.6665139084048874E-3</v>
      </c>
      <c r="D3" s="33">
        <f t="shared" si="1"/>
        <v>1.6665139084048874E-3</v>
      </c>
      <c r="E3" s="33">
        <f t="shared" si="1"/>
        <v>3.3327223783574667E-3</v>
      </c>
      <c r="F3" s="33">
        <f t="shared" si="1"/>
        <v>5.8314626421251958E-3</v>
      </c>
      <c r="G3" s="33">
        <f t="shared" si="1"/>
        <v>1.5819561853080977E-2</v>
      </c>
      <c r="H3" s="33">
        <f t="shared" si="1"/>
        <v>3.2442050589875926E-2</v>
      </c>
      <c r="I3" s="33">
        <f t="shared" si="1"/>
        <v>8.0476173277399532E-2</v>
      </c>
      <c r="J3" s="33">
        <f t="shared" si="1"/>
        <v>0.11757009600361634</v>
      </c>
      <c r="K3" s="33">
        <f>100*(POWER(1+K7/100,1/12)-1)</f>
        <v>0.1422156520640705</v>
      </c>
      <c r="L3" s="33">
        <f t="shared" si="1"/>
        <v>0.18722662416574831</v>
      </c>
      <c r="M3" s="33">
        <f t="shared" si="1"/>
        <v>0.1937551809032545</v>
      </c>
      <c r="N3" s="33"/>
    </row>
    <row r="4" spans="1:14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N4" s="33"/>
    </row>
    <row r="5" spans="1:14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16" thickBot="1">
      <c r="A6" s="36" t="s">
        <v>41</v>
      </c>
      <c r="B6" s="13" t="s">
        <v>26</v>
      </c>
      <c r="C6" s="13" t="s">
        <v>69</v>
      </c>
      <c r="D6" s="13" t="s">
        <v>27</v>
      </c>
      <c r="E6" s="13" t="s">
        <v>28</v>
      </c>
      <c r="F6" s="13" t="s">
        <v>29</v>
      </c>
      <c r="G6" s="13" t="s">
        <v>30</v>
      </c>
      <c r="H6" s="13" t="s">
        <v>31</v>
      </c>
      <c r="I6" s="13" t="s">
        <v>32</v>
      </c>
      <c r="J6" s="13" t="s">
        <v>33</v>
      </c>
      <c r="K6" s="13" t="s">
        <v>34</v>
      </c>
      <c r="L6" s="13" t="s">
        <v>35</v>
      </c>
      <c r="M6" s="13" t="s">
        <v>36</v>
      </c>
    </row>
    <row r="7" spans="1:14" ht="15" thickBot="1">
      <c r="A7" s="89">
        <v>0</v>
      </c>
      <c r="B7" s="90">
        <v>0.02</v>
      </c>
      <c r="C7" s="90">
        <v>0.02</v>
      </c>
      <c r="D7" s="90">
        <v>0.02</v>
      </c>
      <c r="E7" s="90">
        <v>0.04</v>
      </c>
      <c r="F7" s="90">
        <v>7.0000000000000007E-2</v>
      </c>
      <c r="G7" s="90">
        <v>0.19</v>
      </c>
      <c r="H7" s="90">
        <v>0.39</v>
      </c>
      <c r="I7" s="90">
        <v>0.97</v>
      </c>
      <c r="J7" s="90">
        <v>1.42</v>
      </c>
      <c r="K7" s="90">
        <v>1.72</v>
      </c>
      <c r="L7" s="90">
        <v>2.27</v>
      </c>
      <c r="M7" s="101">
        <v>2.35</v>
      </c>
    </row>
    <row r="8" spans="1:14">
      <c r="A8" s="37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4">
      <c r="A9" s="26"/>
      <c r="B9" s="27"/>
      <c r="C9" s="27"/>
      <c r="D9" s="27"/>
      <c r="E9" s="27"/>
      <c r="F9" s="27"/>
      <c r="G9" s="27"/>
      <c r="H9" s="27"/>
      <c r="I9" s="27"/>
      <c r="J9" s="27"/>
      <c r="K9" s="27"/>
      <c r="L9" s="33"/>
    </row>
    <row r="10" spans="1:14"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F79"/>
  <sheetViews>
    <sheetView tabSelected="1" zoomScale="143" zoomScaleNormal="100" workbookViewId="0">
      <selection activeCell="C16" sqref="C16"/>
    </sheetView>
  </sheetViews>
  <sheetFormatPr baseColWidth="10" defaultColWidth="8.83203125" defaultRowHeight="14"/>
  <cols>
    <col min="1" max="1" width="30" customWidth="1"/>
    <col min="2" max="2" width="13.33203125" customWidth="1"/>
    <col min="3" max="3" width="17.6640625" customWidth="1"/>
    <col min="4" max="4" width="16.5" customWidth="1"/>
    <col min="5" max="5" width="13.83203125" customWidth="1"/>
    <col min="6" max="6" width="16" style="7" customWidth="1"/>
    <col min="7" max="9" width="13.33203125" customWidth="1"/>
    <col min="10" max="10" width="16.5" style="2" customWidth="1"/>
    <col min="11" max="12" width="12.6640625" style="2" customWidth="1"/>
    <col min="13" max="13" width="23.5" style="2" customWidth="1"/>
    <col min="14" max="14" width="12.6640625" style="2" customWidth="1"/>
    <col min="15" max="15" width="18.5" style="2" customWidth="1"/>
    <col min="16" max="19" width="12.6640625" style="2" customWidth="1"/>
    <col min="21" max="21" width="11.33203125" customWidth="1"/>
  </cols>
  <sheetData>
    <row r="1" spans="1:32">
      <c r="A1" s="85"/>
      <c r="B1" s="86"/>
      <c r="C1" s="87"/>
      <c r="D1" s="88"/>
      <c r="E1" s="95"/>
      <c r="I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15" thickBot="1">
      <c r="A2" s="58" t="s">
        <v>52</v>
      </c>
      <c r="B2" s="59" t="s">
        <v>37</v>
      </c>
      <c r="C2" s="60" t="s">
        <v>65</v>
      </c>
      <c r="D2" s="60" t="s">
        <v>62</v>
      </c>
      <c r="E2" s="60" t="s">
        <v>64</v>
      </c>
      <c r="I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" thickTop="1">
      <c r="A3" s="110" t="s">
        <v>81</v>
      </c>
      <c r="B3" s="56">
        <v>1</v>
      </c>
      <c r="C3" s="92">
        <f>'EFFICIENT FRONTIER ANALYSIS'!G4</f>
        <v>0.28630433983767251</v>
      </c>
      <c r="D3" s="91">
        <f>ABS(C3)</f>
        <v>0.28630433983767251</v>
      </c>
      <c r="E3" s="96">
        <f>G3*$C$17</f>
        <v>15580.925912713155</v>
      </c>
      <c r="G3">
        <f>D3/$D$12</f>
        <v>0.28630433983767251</v>
      </c>
      <c r="I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>
      <c r="A4" s="110" t="s">
        <v>83</v>
      </c>
      <c r="B4" s="56">
        <v>0</v>
      </c>
      <c r="C4" s="92">
        <f>'EFFICIENT FRONTIER ANALYSIS'!G5</f>
        <v>0</v>
      </c>
      <c r="D4" s="91">
        <f t="shared" ref="D4:D11" si="0">ABS(C4)</f>
        <v>0</v>
      </c>
      <c r="E4" s="96">
        <f>G4*$C$17</f>
        <v>0</v>
      </c>
      <c r="G4">
        <f t="shared" ref="G4:G11" si="1">D4/$D$12</f>
        <v>0</v>
      </c>
      <c r="I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>
      <c r="A5" s="110" t="s">
        <v>85</v>
      </c>
      <c r="B5" s="56">
        <v>0</v>
      </c>
      <c r="C5" s="92">
        <f>'EFFICIENT FRONTIER ANALYSIS'!G6</f>
        <v>0</v>
      </c>
      <c r="D5" s="91">
        <f t="shared" si="0"/>
        <v>0</v>
      </c>
      <c r="E5" s="96">
        <f t="shared" ref="E5:E11" si="2">G5*$C$17</f>
        <v>0</v>
      </c>
      <c r="G5">
        <f t="shared" si="1"/>
        <v>0</v>
      </c>
      <c r="I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>
      <c r="A6" s="110" t="s">
        <v>87</v>
      </c>
      <c r="B6" s="56">
        <v>1</v>
      </c>
      <c r="C6" s="92">
        <f>'EFFICIENT FRONTIER ANALYSIS'!G7</f>
        <v>9.8906348319596729E-2</v>
      </c>
      <c r="D6" s="91">
        <f t="shared" si="0"/>
        <v>9.8906348319596729E-2</v>
      </c>
      <c r="E6" s="96">
        <f t="shared" si="2"/>
        <v>5382.5676772429533</v>
      </c>
      <c r="G6">
        <f t="shared" si="1"/>
        <v>9.8906348319596729E-2</v>
      </c>
      <c r="I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>
      <c r="A7" s="110" t="s">
        <v>89</v>
      </c>
      <c r="B7" s="56">
        <v>1</v>
      </c>
      <c r="C7" s="92">
        <f>'EFFICIENT FRONTIER ANALYSIS'!G8</f>
        <v>0.1548156426331905</v>
      </c>
      <c r="D7" s="91">
        <f t="shared" si="0"/>
        <v>0.1548156426331905</v>
      </c>
      <c r="E7" s="96">
        <f t="shared" si="2"/>
        <v>8425.1990709063612</v>
      </c>
      <c r="G7">
        <f t="shared" si="1"/>
        <v>0.1548156426331905</v>
      </c>
      <c r="I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>
      <c r="A8" s="110" t="s">
        <v>91</v>
      </c>
      <c r="B8" s="56">
        <v>1</v>
      </c>
      <c r="C8" s="92">
        <f>'EFFICIENT FRONTIER ANALYSIS'!G9</f>
        <v>8.0649297341749471E-2</v>
      </c>
      <c r="D8" s="91">
        <f t="shared" si="0"/>
        <v>8.0649297341749471E-2</v>
      </c>
      <c r="E8" s="96">
        <f t="shared" si="2"/>
        <v>4389.0034202996312</v>
      </c>
      <c r="G8">
        <f t="shared" si="1"/>
        <v>8.0649297341749471E-2</v>
      </c>
      <c r="I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>
      <c r="A9" s="110" t="s">
        <v>93</v>
      </c>
      <c r="B9" s="56">
        <v>0</v>
      </c>
      <c r="C9" s="92">
        <f>'EFFICIENT FRONTIER ANALYSIS'!G10</f>
        <v>0</v>
      </c>
      <c r="D9" s="91">
        <f t="shared" si="0"/>
        <v>0</v>
      </c>
      <c r="E9" s="96">
        <f t="shared" si="2"/>
        <v>0</v>
      </c>
      <c r="G9">
        <f t="shared" si="1"/>
        <v>0</v>
      </c>
      <c r="I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>
      <c r="A10" s="110" t="s">
        <v>95</v>
      </c>
      <c r="B10" s="56">
        <v>1</v>
      </c>
      <c r="C10" s="92">
        <f>'EFFICIENT FRONTIER ANALYSIS'!G11</f>
        <v>0.17288433497250869</v>
      </c>
      <c r="D10" s="91">
        <f t="shared" si="0"/>
        <v>0.17288433497250869</v>
      </c>
      <c r="E10" s="96">
        <f t="shared" si="2"/>
        <v>9408.5126903860491</v>
      </c>
      <c r="G10">
        <f t="shared" si="1"/>
        <v>0.17288433497250869</v>
      </c>
      <c r="I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ht="15" thickBot="1">
      <c r="A11" s="114" t="s">
        <v>97</v>
      </c>
      <c r="B11" s="57">
        <v>1</v>
      </c>
      <c r="C11" s="94">
        <f>'EFFICIENT FRONTIER ANALYSIS'!G12</f>
        <v>0.20644003689528212</v>
      </c>
      <c r="D11" s="93">
        <f t="shared" si="0"/>
        <v>0.20644003689528212</v>
      </c>
      <c r="E11" s="97">
        <f t="shared" si="2"/>
        <v>11234.642555913935</v>
      </c>
      <c r="G11">
        <f t="shared" si="1"/>
        <v>0.20644003689528212</v>
      </c>
      <c r="I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>
      <c r="C12" s="3">
        <f>SUM(C3:C11)</f>
        <v>1</v>
      </c>
      <c r="D12" s="3">
        <f>SUM(D3:D11)</f>
        <v>1</v>
      </c>
      <c r="E12" s="98">
        <f>SUM(E3:E11)</f>
        <v>54420.851327462093</v>
      </c>
      <c r="F12" s="2"/>
      <c r="G12" s="2"/>
      <c r="I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>
      <c r="A13" s="28" t="s">
        <v>54</v>
      </c>
      <c r="B13" s="73">
        <v>100000</v>
      </c>
      <c r="C13" s="76"/>
      <c r="D13" s="2"/>
      <c r="E13" s="2"/>
      <c r="F13" s="2"/>
      <c r="G13" s="2"/>
    </row>
    <row r="14" spans="1:32" ht="15">
      <c r="A14" s="52" t="s">
        <v>38</v>
      </c>
      <c r="B14" s="53">
        <f>HLOOKUP(C14,'TREASURY DATA'!A2:M4,2,FALSE)</f>
        <v>5.8314626421251958E-3</v>
      </c>
      <c r="C14" s="13" t="s">
        <v>29</v>
      </c>
      <c r="D14" s="2"/>
      <c r="E14" s="2"/>
      <c r="F14" s="2"/>
      <c r="G14" s="2"/>
    </row>
    <row r="15" spans="1:32">
      <c r="A15" s="52" t="s">
        <v>66</v>
      </c>
      <c r="B15" s="29">
        <v>1.3722867336592626</v>
      </c>
      <c r="C15" s="54"/>
      <c r="D15" s="2"/>
      <c r="E15" s="2"/>
      <c r="F15" s="2"/>
      <c r="G15" s="2"/>
    </row>
    <row r="16" spans="1:32">
      <c r="A16" s="51" t="s">
        <v>70</v>
      </c>
      <c r="B16" s="70">
        <f>'EFFICIENT FRONTIER ANALYSIS'!B15</f>
        <v>0.45579148672537917</v>
      </c>
      <c r="C16" s="72">
        <f>B16*B19</f>
        <v>45579.148672537915</v>
      </c>
      <c r="D16" s="98"/>
      <c r="E16" s="98"/>
      <c r="F16" s="2"/>
      <c r="G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>
      <c r="A17" s="28" t="s">
        <v>71</v>
      </c>
      <c r="B17" s="71">
        <f>'EFFICIENT FRONTIER ANALYSIS'!B16</f>
        <v>0.54420851327462083</v>
      </c>
      <c r="C17" s="72">
        <f>B17*B19</f>
        <v>54420.851327462085</v>
      </c>
      <c r="D17" s="102"/>
      <c r="E17" s="98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>
      <c r="A18" s="52" t="s">
        <v>51</v>
      </c>
      <c r="B18" s="53">
        <f>'EFFICIENT FRONTIER ANALYSIS'!B17</f>
        <v>3.1801261224350537</v>
      </c>
      <c r="C18" s="55"/>
      <c r="F18" s="28"/>
      <c r="G18" s="28"/>
      <c r="H18" s="28"/>
      <c r="I18" s="28"/>
      <c r="J18" s="28"/>
      <c r="K18" s="28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>
      <c r="A19" s="28" t="s">
        <v>57</v>
      </c>
      <c r="B19" s="73">
        <f>'EFFICIENT FRONTIER ANALYSIS'!H13</f>
        <v>100000</v>
      </c>
      <c r="C19" s="75">
        <f>SUM(C16:C17)</f>
        <v>100000</v>
      </c>
      <c r="D19" s="75"/>
      <c r="E19" s="103"/>
      <c r="F19" s="28"/>
      <c r="G19" s="28"/>
      <c r="H19" s="28"/>
      <c r="I19" s="28"/>
      <c r="J19" s="28"/>
      <c r="K19" s="28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>
      <c r="C20" s="76"/>
      <c r="D20" s="28"/>
      <c r="E20" s="28"/>
      <c r="F20" s="28"/>
      <c r="G20" s="28"/>
      <c r="H20" s="28"/>
      <c r="I20" s="28"/>
      <c r="J20" s="28"/>
      <c r="K20" s="28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>
      <c r="A21" s="51" t="s">
        <v>58</v>
      </c>
      <c r="B21" s="74">
        <f>B19-B13</f>
        <v>0</v>
      </c>
      <c r="C21" s="28"/>
      <c r="D21" s="28"/>
      <c r="E21" s="28"/>
      <c r="F21" s="28"/>
      <c r="G21" s="28"/>
      <c r="H21" s="28"/>
      <c r="I21" s="28"/>
      <c r="J21" s="28"/>
      <c r="K21" s="28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>
      <c r="A22" s="28" t="s">
        <v>59</v>
      </c>
      <c r="B22" s="73">
        <f>IF(B16&lt;0,ABS(C16),0)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>
      <c r="C23" s="28"/>
      <c r="D23" s="28"/>
      <c r="E23" s="28"/>
      <c r="F23" s="28"/>
      <c r="G23" s="28"/>
      <c r="H23" s="28"/>
      <c r="I23" s="28"/>
      <c r="J23" s="28"/>
      <c r="K23" s="28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>
      <c r="A24" s="28" t="s">
        <v>55</v>
      </c>
      <c r="B24" s="73">
        <f>B19+B22</f>
        <v>100000</v>
      </c>
      <c r="C24" s="28"/>
      <c r="D24" s="28"/>
      <c r="E24" s="28"/>
      <c r="F24" s="28"/>
      <c r="G24" s="28"/>
      <c r="H24" s="28"/>
      <c r="I24" s="28"/>
      <c r="J24" s="28"/>
      <c r="K24" s="28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>
      <c r="A25" s="28" t="s">
        <v>56</v>
      </c>
      <c r="B25" s="73">
        <f>B21+B22</f>
        <v>0</v>
      </c>
      <c r="C25" s="28"/>
      <c r="D25" s="28"/>
      <c r="E25" s="28"/>
      <c r="F25" s="28"/>
      <c r="G25" s="28"/>
      <c r="H25" s="28"/>
      <c r="I25" s="28"/>
      <c r="J25" s="28"/>
      <c r="K25" s="28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>
      <c r="A27" s="28" t="s">
        <v>60</v>
      </c>
      <c r="B27" s="35">
        <v>0.5</v>
      </c>
      <c r="C27" s="28"/>
      <c r="D27" s="28"/>
      <c r="E27" s="28"/>
      <c r="F27" s="28"/>
      <c r="G27" s="28"/>
      <c r="H27" s="28"/>
      <c r="I27" s="28"/>
      <c r="J27" s="28"/>
      <c r="K27" s="28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>
      <c r="A28" s="28" t="s">
        <v>61</v>
      </c>
      <c r="B28" s="35">
        <f>B16-B27</f>
        <v>-4.4208513274620831E-2</v>
      </c>
      <c r="C28" s="28"/>
      <c r="D28" s="28"/>
      <c r="E28" s="28"/>
      <c r="F28" s="28"/>
      <c r="G28" s="28"/>
      <c r="H28" s="28"/>
      <c r="I28" s="28"/>
      <c r="J28" s="28"/>
      <c r="K28" s="28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>
      <c r="A30" s="28" t="s">
        <v>68</v>
      </c>
      <c r="B30" s="100">
        <f>POWER(1+B15/100,12)-1</f>
        <v>0.177689816958021</v>
      </c>
      <c r="C30" s="28"/>
      <c r="D30" s="28"/>
      <c r="E30" s="28"/>
      <c r="F30" s="28"/>
      <c r="G30" s="28"/>
      <c r="H30" s="28"/>
      <c r="I30" s="28"/>
      <c r="J30" s="28"/>
      <c r="K30" s="28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>
      <c r="A31" s="28"/>
      <c r="B31" s="54"/>
      <c r="C31" s="99"/>
      <c r="D31" s="28"/>
      <c r="E31" s="28"/>
      <c r="F31" s="28"/>
      <c r="G31" s="28"/>
      <c r="H31" s="28"/>
      <c r="I31" s="28"/>
      <c r="J31" s="28"/>
      <c r="K31" s="28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>
      <c r="A32" s="28"/>
      <c r="B32" s="99"/>
      <c r="C32" s="28"/>
      <c r="D32" s="28"/>
      <c r="E32" s="28"/>
      <c r="F32" s="28"/>
      <c r="G32" s="28"/>
      <c r="H32" s="28"/>
      <c r="I32" s="28"/>
      <c r="J32" s="28"/>
      <c r="K32" s="28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</sheetData>
  <phoneticPr fontId="13" type="noConversion"/>
  <conditionalFormatting sqref="B3:B11">
    <cfRule type="cellIs" dxfId="2" priority="4" operator="lessThan">
      <formula>$B$14</formula>
    </cfRule>
  </conditionalFormatting>
  <conditionalFormatting sqref="C3:C11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D76"/>
  <sheetViews>
    <sheetView topLeftCell="F1" zoomScaleNormal="100" workbookViewId="0">
      <selection activeCell="K5" sqref="K5"/>
    </sheetView>
  </sheetViews>
  <sheetFormatPr baseColWidth="10" defaultColWidth="8.83203125" defaultRowHeight="14"/>
  <cols>
    <col min="1" max="1" width="29" customWidth="1"/>
    <col min="2" max="2" width="11.1640625" customWidth="1"/>
    <col min="4" max="4" width="16.5" customWidth="1"/>
    <col min="5" max="5" width="12.1640625" customWidth="1"/>
    <col min="6" max="6" width="16" style="7" customWidth="1"/>
    <col min="7" max="9" width="13.33203125" customWidth="1"/>
    <col min="10" max="10" width="16.5" style="2" customWidth="1"/>
    <col min="11" max="12" width="12.6640625" style="2" customWidth="1"/>
    <col min="13" max="13" width="23.5" style="2" customWidth="1"/>
    <col min="14" max="14" width="12.6640625" style="2" customWidth="1"/>
    <col min="15" max="15" width="18.5" style="2" customWidth="1"/>
    <col min="16" max="19" width="12.6640625" style="2" customWidth="1"/>
    <col min="21" max="21" width="11.33203125" customWidth="1"/>
  </cols>
  <sheetData>
    <row r="1" spans="1:30">
      <c r="A1" s="28" t="s">
        <v>38</v>
      </c>
      <c r="B1" s="29">
        <f>'EFFICIENT FRONTIER GRAPHS'!B14</f>
        <v>5.8314626421251958E-3</v>
      </c>
      <c r="C1" s="30"/>
      <c r="D1" s="7"/>
      <c r="E1" s="7"/>
      <c r="K1" s="25">
        <f>VLOOKUP(K3,$A$4:$F$12,6,FALSE)</f>
        <v>1</v>
      </c>
      <c r="L1" s="25">
        <f t="shared" ref="L1:S1" si="0">VLOOKUP(L3,$A$4:$F$12,6,FALSE)</f>
        <v>0</v>
      </c>
      <c r="M1" s="25">
        <f t="shared" si="0"/>
        <v>0</v>
      </c>
      <c r="N1" s="25">
        <f t="shared" si="0"/>
        <v>1</v>
      </c>
      <c r="O1" s="25">
        <f t="shared" si="0"/>
        <v>1</v>
      </c>
      <c r="P1" s="25">
        <f t="shared" si="0"/>
        <v>1</v>
      </c>
      <c r="Q1" s="25">
        <f t="shared" si="0"/>
        <v>0</v>
      </c>
      <c r="R1" s="25">
        <f t="shared" si="0"/>
        <v>1</v>
      </c>
      <c r="S1" s="25">
        <f t="shared" si="0"/>
        <v>1</v>
      </c>
    </row>
    <row r="2" spans="1:30">
      <c r="A2" s="28"/>
      <c r="B2" s="29"/>
      <c r="C2" s="30"/>
      <c r="D2" s="7"/>
      <c r="K2" s="25"/>
      <c r="L2" s="25"/>
      <c r="M2" s="25"/>
      <c r="N2" s="25"/>
      <c r="O2" s="25"/>
      <c r="P2" s="25"/>
      <c r="Q2" s="25"/>
      <c r="R2" s="25"/>
      <c r="S2" s="25"/>
    </row>
    <row r="3" spans="1:30" ht="16" thickBot="1">
      <c r="B3" t="s">
        <v>0</v>
      </c>
      <c r="C3" t="s">
        <v>2</v>
      </c>
      <c r="D3" s="7" t="s">
        <v>53</v>
      </c>
      <c r="F3" s="7" t="s">
        <v>37</v>
      </c>
      <c r="G3" s="31" t="s">
        <v>40</v>
      </c>
      <c r="H3" s="31" t="s">
        <v>45</v>
      </c>
      <c r="I3" s="31"/>
      <c r="J3" s="4" t="s">
        <v>1</v>
      </c>
      <c r="K3" s="3" t="str">
        <f t="array" ref="K3:S3">'MW DATA'!H1:P1</f>
        <v>APPLE</v>
      </c>
      <c r="L3" s="3" t="str">
        <v>SUMSANG</v>
      </c>
      <c r="M3" s="3" t="str">
        <v>MICROSOFT</v>
      </c>
      <c r="N3" s="3" t="str">
        <v>ALPHABET</v>
      </c>
      <c r="O3" s="3" t="str">
        <v>KWEICHOU MOUTAI</v>
      </c>
      <c r="P3" s="3" t="str">
        <v>AMAZON</v>
      </c>
      <c r="Q3" s="3" t="str">
        <v>STARBUCKS</v>
      </c>
      <c r="R3" s="3" t="str">
        <v>NETFLIX</v>
      </c>
      <c r="S3" s="3" t="str">
        <v>NIKE</v>
      </c>
      <c r="U3" s="4" t="s">
        <v>25</v>
      </c>
      <c r="V3" s="3" t="str">
        <f t="array" ref="V3:AD3">K3:S3</f>
        <v>APPLE</v>
      </c>
      <c r="W3" s="3" t="str">
        <v>SUMSANG</v>
      </c>
      <c r="X3" s="3" t="str">
        <v>MICROSOFT</v>
      </c>
      <c r="Y3" s="3" t="str">
        <v>ALPHABET</v>
      </c>
      <c r="Z3" s="3" t="str">
        <v>KWEICHOU MOUTAI</v>
      </c>
      <c r="AA3" s="3" t="str">
        <v>AMAZON</v>
      </c>
      <c r="AB3" s="3" t="str">
        <v>STARBUCKS</v>
      </c>
      <c r="AC3" s="3" t="str">
        <v>NETFLIX</v>
      </c>
      <c r="AD3" s="3" t="str">
        <v>NIKE</v>
      </c>
    </row>
    <row r="4" spans="1:30">
      <c r="A4" t="str">
        <f t="array" ref="A4:A12">'MW DATA'!A2:A10</f>
        <v>APPLE</v>
      </c>
      <c r="B4" s="3">
        <f>IF(F4=0,-1,F4*'MW DATA'!B2)</f>
        <v>3.1525566991737199</v>
      </c>
      <c r="C4" s="3">
        <f>IF(F4=0,-1,F4*'MW DATA'!C2)</f>
        <v>9.7098579048187705</v>
      </c>
      <c r="D4" s="3">
        <f>IF(F4&lt;&gt;0,C4/B4,0)</f>
        <v>3.0799946936287328</v>
      </c>
      <c r="F4" s="7">
        <f>'EFFICIENT FRONTIER GRAPHS'!B3</f>
        <v>1</v>
      </c>
      <c r="G4" s="32">
        <f>H49</f>
        <v>0.28630433983767251</v>
      </c>
      <c r="H4" s="32">
        <f>ABS(G4)</f>
        <v>0.28630433983767251</v>
      </c>
      <c r="I4" s="32"/>
      <c r="J4" s="3" t="str">
        <f t="array" ref="J4:J12">'MW DATA'!G2:G10</f>
        <v>APPLE</v>
      </c>
      <c r="K4" s="61">
        <f>IF($F$4=0,1,'MW DATA'!H2*'EFFICIENT FRONTIER ANALYSIS'!$F4*'EFFICIENT FRONTIER ANALYSIS'!K$1)</f>
        <v>94.281340531771406</v>
      </c>
      <c r="L4" s="62">
        <f>'MW DATA'!I2*'EFFICIENT FRONTIER ANALYSIS'!$F4*'EFFICIENT FRONTIER ANALYSIS'!L$1</f>
        <v>0</v>
      </c>
      <c r="M4" s="62">
        <f>'MW DATA'!J2*'EFFICIENT FRONTIER ANALYSIS'!$F4*'EFFICIENT FRONTIER ANALYSIS'!M$1</f>
        <v>0</v>
      </c>
      <c r="N4" s="62">
        <f>'MW DATA'!K2*'EFFICIENT FRONTIER ANALYSIS'!$F4*'EFFICIENT FRONTIER ANALYSIS'!N$1</f>
        <v>41.059966749110799</v>
      </c>
      <c r="O4" s="62">
        <f>'MW DATA'!L2*'EFFICIENT FRONTIER ANALYSIS'!$F4*'EFFICIENT FRONTIER ANALYSIS'!O$1</f>
        <v>20.5372047349192</v>
      </c>
      <c r="P4" s="62">
        <f>'MW DATA'!M2*'EFFICIENT FRONTIER ANALYSIS'!$F4*'EFFICIENT FRONTIER ANALYSIS'!P$1</f>
        <v>34.323313542058401</v>
      </c>
      <c r="Q4" s="62">
        <f>'MW DATA'!N2*'EFFICIENT FRONTIER ANALYSIS'!$F4*'EFFICIENT FRONTIER ANALYSIS'!Q$1</f>
        <v>0</v>
      </c>
      <c r="R4" s="62">
        <f>'MW DATA'!O2*'EFFICIENT FRONTIER ANALYSIS'!$F4*'EFFICIENT FRONTIER ANALYSIS'!R$1</f>
        <v>12.511158459504401</v>
      </c>
      <c r="S4" s="63">
        <f>'MW DATA'!P2*'EFFICIENT FRONTIER ANALYSIS'!$F4*'EFFICIENT FRONTIER ANALYSIS'!S$1</f>
        <v>17.581467458766198</v>
      </c>
      <c r="U4" s="3" t="str">
        <f t="array" ref="U4:U12">J4:J12</f>
        <v>APPLE</v>
      </c>
      <c r="V4" s="5">
        <f t="array" ref="V4:AD12">MINVERSE(K4:S12)</f>
        <v>1.5264268642588525E-2</v>
      </c>
      <c r="W4" s="5">
        <v>0</v>
      </c>
      <c r="X4" s="5">
        <v>0</v>
      </c>
      <c r="Y4" s="5">
        <v>-5.7014556602947401E-3</v>
      </c>
      <c r="Z4" s="5">
        <v>-4.5877913354317179E-3</v>
      </c>
      <c r="AA4" s="5">
        <v>-2.0789510798844201E-3</v>
      </c>
      <c r="AB4" s="5">
        <v>0</v>
      </c>
      <c r="AC4" s="5">
        <v>6.0538418487572174E-5</v>
      </c>
      <c r="AD4" s="5">
        <v>-2.2873310306818803E-3</v>
      </c>
    </row>
    <row r="5" spans="1:30">
      <c r="A5" t="str">
        <v>SUMSANG</v>
      </c>
      <c r="B5" s="3">
        <f>IF(F5=0,-1,F5*'MW DATA'!B3)</f>
        <v>-1</v>
      </c>
      <c r="C5" s="3">
        <f>IF(F5=0,-1,F5*'MW DATA'!C3)</f>
        <v>-1</v>
      </c>
      <c r="D5" s="3">
        <f t="shared" ref="D5:D6" si="1">IF(F5&lt;&gt;0,C5/B5,0)</f>
        <v>0</v>
      </c>
      <c r="F5" s="7">
        <f>'EFFICIENT FRONTIER GRAPHS'!B4</f>
        <v>0</v>
      </c>
      <c r="G5" s="32">
        <f t="shared" ref="G5:G12" si="2">H50</f>
        <v>0</v>
      </c>
      <c r="H5" s="32">
        <f t="shared" ref="H5:H12" si="3">ABS(G5)</f>
        <v>0</v>
      </c>
      <c r="I5" s="32"/>
      <c r="J5" s="3" t="str">
        <v>SUMSANG</v>
      </c>
      <c r="K5" s="64">
        <f>'MW DATA'!H3*'EFFICIENT FRONTIER ANALYSIS'!$F5*'EFFICIENT FRONTIER ANALYSIS'!K$1</f>
        <v>0</v>
      </c>
      <c r="L5" s="65">
        <f>IF($F$5=0,1,'MW DATA'!I3*'EFFICIENT FRONTIER ANALYSIS'!$F5*'EFFICIENT FRONTIER ANALYSIS'!L$1)</f>
        <v>1</v>
      </c>
      <c r="M5" s="65">
        <f>'MW DATA'!J3*'EFFICIENT FRONTIER ANALYSIS'!$F5*'EFFICIENT FRONTIER ANALYSIS'!M$1</f>
        <v>0</v>
      </c>
      <c r="N5" s="65">
        <f>'MW DATA'!K3*'EFFICIENT FRONTIER ANALYSIS'!$F5*'EFFICIENT FRONTIER ANALYSIS'!N$1</f>
        <v>0</v>
      </c>
      <c r="O5" s="65">
        <f>'MW DATA'!L3*'EFFICIENT FRONTIER ANALYSIS'!$F5*'EFFICIENT FRONTIER ANALYSIS'!O$1</f>
        <v>0</v>
      </c>
      <c r="P5" s="65">
        <f>'MW DATA'!M3*'EFFICIENT FRONTIER ANALYSIS'!$F5*'EFFICIENT FRONTIER ANALYSIS'!P$1</f>
        <v>0</v>
      </c>
      <c r="Q5" s="65">
        <f>'MW DATA'!N3*'EFFICIENT FRONTIER ANALYSIS'!$F5*'EFFICIENT FRONTIER ANALYSIS'!Q$1</f>
        <v>0</v>
      </c>
      <c r="R5" s="65">
        <f>'MW DATA'!O3*'EFFICIENT FRONTIER ANALYSIS'!$F5*'EFFICIENT FRONTIER ANALYSIS'!R$1</f>
        <v>0</v>
      </c>
      <c r="S5" s="66">
        <f>'MW DATA'!P3*'EFFICIENT FRONTIER ANALYSIS'!$F5*'EFFICIENT FRONTIER ANALYSIS'!S$1</f>
        <v>0</v>
      </c>
      <c r="U5" s="3" t="str">
        <v>SUMSANG</v>
      </c>
      <c r="V5" s="5">
        <v>0</v>
      </c>
      <c r="W5" s="5">
        <v>1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</row>
    <row r="6" spans="1:30">
      <c r="A6" t="str">
        <v>MICROSOFT</v>
      </c>
      <c r="B6" s="3">
        <f>IF(F6=0,-1,F6*'MW DATA'!B4)</f>
        <v>-1</v>
      </c>
      <c r="C6" s="3">
        <f>IF(F6=0,-1,F6*'MW DATA'!C4)</f>
        <v>-1</v>
      </c>
      <c r="D6" s="3">
        <f t="shared" si="1"/>
        <v>0</v>
      </c>
      <c r="F6" s="7">
        <f>'EFFICIENT FRONTIER GRAPHS'!B5</f>
        <v>0</v>
      </c>
      <c r="G6" s="32">
        <f t="shared" si="2"/>
        <v>0</v>
      </c>
      <c r="H6" s="32">
        <f t="shared" si="3"/>
        <v>0</v>
      </c>
      <c r="I6" s="32"/>
      <c r="J6" s="3" t="str">
        <v>MICROSOFT</v>
      </c>
      <c r="K6" s="64">
        <f>'MW DATA'!H4*'EFFICIENT FRONTIER ANALYSIS'!$F6*'EFFICIENT FRONTIER ANALYSIS'!K$1</f>
        <v>0</v>
      </c>
      <c r="L6" s="65">
        <f>'MW DATA'!I4*'EFFICIENT FRONTIER ANALYSIS'!$F6*'EFFICIENT FRONTIER ANALYSIS'!L$1</f>
        <v>0</v>
      </c>
      <c r="M6" s="65">
        <f>IF($F$6=0,1,'MW DATA'!J4*'EFFICIENT FRONTIER ANALYSIS'!$F6*'EFFICIENT FRONTIER ANALYSIS'!M$1)</f>
        <v>1</v>
      </c>
      <c r="N6" s="65">
        <f>'MW DATA'!K4*'EFFICIENT FRONTIER ANALYSIS'!$F6*'EFFICIENT FRONTIER ANALYSIS'!N$1</f>
        <v>0</v>
      </c>
      <c r="O6" s="65">
        <f>'MW DATA'!L4*'EFFICIENT FRONTIER ANALYSIS'!$F6*'EFFICIENT FRONTIER ANALYSIS'!O$1</f>
        <v>0</v>
      </c>
      <c r="P6" s="65">
        <f>'MW DATA'!M4*'EFFICIENT FRONTIER ANALYSIS'!$F6*'EFFICIENT FRONTIER ANALYSIS'!P$1</f>
        <v>0</v>
      </c>
      <c r="Q6" s="65">
        <f>'MW DATA'!N4*'EFFICIENT FRONTIER ANALYSIS'!$F6*'EFFICIENT FRONTIER ANALYSIS'!Q$1</f>
        <v>0</v>
      </c>
      <c r="R6" s="65">
        <f>'MW DATA'!O4*'EFFICIENT FRONTIER ANALYSIS'!$F6*'EFFICIENT FRONTIER ANALYSIS'!R$1</f>
        <v>0</v>
      </c>
      <c r="S6" s="66">
        <f>'MW DATA'!P4*'EFFICIENT FRONTIER ANALYSIS'!$F6*'EFFICIENT FRONTIER ANALYSIS'!S$1</f>
        <v>0</v>
      </c>
      <c r="U6" s="3" t="str">
        <v>MICROSOFT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</row>
    <row r="7" spans="1:30">
      <c r="A7" t="str">
        <v>ALPHABET</v>
      </c>
      <c r="B7" s="3">
        <f>IF(F7=0,-1,F7*'MW DATA'!B5)</f>
        <v>2.1705397575880898</v>
      </c>
      <c r="C7" s="3">
        <f>IF(F7=0,-1,F7*'MW DATA'!C5)</f>
        <v>8.7576775015762305</v>
      </c>
      <c r="D7" s="3">
        <f>IF(F7&lt;&gt;0,C7/B7,0)</f>
        <v>4.0347924846618737</v>
      </c>
      <c r="F7" s="7">
        <f>'EFFICIENT FRONTIER GRAPHS'!B6</f>
        <v>1</v>
      </c>
      <c r="G7" s="32">
        <f t="shared" si="2"/>
        <v>9.8906348319596729E-2</v>
      </c>
      <c r="H7" s="32">
        <f t="shared" si="3"/>
        <v>9.8906348319596729E-2</v>
      </c>
      <c r="I7" s="32"/>
      <c r="J7" s="3" t="str">
        <v>ALPHABET</v>
      </c>
      <c r="K7" s="64">
        <f>'MW DATA'!H5*'EFFICIENT FRONTIER ANALYSIS'!$F7*'EFFICIENT FRONTIER ANALYSIS'!K$1</f>
        <v>41.059966749110799</v>
      </c>
      <c r="L7" s="65">
        <f>'MW DATA'!I5*'EFFICIENT FRONTIER ANALYSIS'!$F7*'EFFICIENT FRONTIER ANALYSIS'!L$1</f>
        <v>0</v>
      </c>
      <c r="M7" s="65">
        <f>'MW DATA'!J5*'EFFICIENT FRONTIER ANALYSIS'!$F7*'EFFICIENT FRONTIER ANALYSIS'!M$1</f>
        <v>0</v>
      </c>
      <c r="N7" s="65">
        <f>IF($F$7=0,1,'MW DATA'!K5*'EFFICIENT FRONTIER ANALYSIS'!$F7*'EFFICIENT FRONTIER ANALYSIS'!N$1)</f>
        <v>76.696915221614503</v>
      </c>
      <c r="O7" s="65">
        <f>'MW DATA'!L5*'EFFICIENT FRONTIER ANALYSIS'!$F7*'EFFICIENT FRONTIER ANALYSIS'!O$1</f>
        <v>20.286783701851899</v>
      </c>
      <c r="P7" s="65">
        <f>'MW DATA'!M5*'EFFICIENT FRONTIER ANALYSIS'!$F7*'EFFICIENT FRONTIER ANALYSIS'!P$1</f>
        <v>31.656090442064901</v>
      </c>
      <c r="Q7" s="65">
        <f>'MW DATA'!N5*'EFFICIENT FRONTIER ANALYSIS'!$F7*'EFFICIENT FRONTIER ANALYSIS'!Q$1</f>
        <v>0</v>
      </c>
      <c r="R7" s="65">
        <f>'MW DATA'!O5*'EFFICIENT FRONTIER ANALYSIS'!$F7*'EFFICIENT FRONTIER ANALYSIS'!R$1</f>
        <v>9.2169261008411194</v>
      </c>
      <c r="S7" s="66">
        <f>'MW DATA'!P5*'EFFICIENT FRONTIER ANALYSIS'!$F7*'EFFICIENT FRONTIER ANALYSIS'!S$1</f>
        <v>13.614682487105799</v>
      </c>
      <c r="U7" s="3" t="str">
        <v>ALPHABET</v>
      </c>
      <c r="V7" s="5">
        <v>-5.7014556602947393E-3</v>
      </c>
      <c r="W7" s="5">
        <v>0</v>
      </c>
      <c r="X7" s="5">
        <v>0</v>
      </c>
      <c r="Y7" s="5">
        <v>1.9297841960433524E-2</v>
      </c>
      <c r="Z7" s="5">
        <v>-8.0855218180777705E-3</v>
      </c>
      <c r="AA7" s="5">
        <v>-2.5808671293748109E-3</v>
      </c>
      <c r="AB7" s="5">
        <v>0</v>
      </c>
      <c r="AC7" s="5">
        <v>2.2673733529080231E-4</v>
      </c>
      <c r="AD7" s="5">
        <v>-1.7215199295031016E-4</v>
      </c>
    </row>
    <row r="8" spans="1:30">
      <c r="A8" t="str">
        <v>KWEICHOU MOUTAI</v>
      </c>
      <c r="B8" s="3">
        <f>IF(F8=0,-1,F8*'MW DATA'!B6)</f>
        <v>1.2495288605138</v>
      </c>
      <c r="C8" s="3">
        <f>IF(F8=0,-1,F8*'MW DATA'!C6)</f>
        <v>5.3090627212203803</v>
      </c>
      <c r="D8" s="3">
        <f t="shared" ref="D8:D12" si="4">IF(F8&lt;&gt;0,C8/B8,0)</f>
        <v>4.248851618391047</v>
      </c>
      <c r="F8" s="7">
        <f>'EFFICIENT FRONTIER GRAPHS'!B7</f>
        <v>1</v>
      </c>
      <c r="G8" s="32">
        <f t="shared" si="2"/>
        <v>0.1548156426331905</v>
      </c>
      <c r="H8" s="32">
        <f t="shared" si="3"/>
        <v>0.1548156426331905</v>
      </c>
      <c r="I8" s="32"/>
      <c r="J8" s="3" t="str">
        <v>KWEICHOU MOUTAI</v>
      </c>
      <c r="K8" s="64">
        <f>'MW DATA'!H6*'EFFICIENT FRONTIER ANALYSIS'!$F8*'EFFICIENT FRONTIER ANALYSIS'!K$1</f>
        <v>20.5372047349192</v>
      </c>
      <c r="L8" s="65">
        <f>'MW DATA'!I6*'EFFICIENT FRONTIER ANALYSIS'!$F8*'EFFICIENT FRONTIER ANALYSIS'!L$1</f>
        <v>0</v>
      </c>
      <c r="M8" s="65">
        <f>'MW DATA'!J6*'EFFICIENT FRONTIER ANALYSIS'!$F8*'EFFICIENT FRONTIER ANALYSIS'!M$1</f>
        <v>0</v>
      </c>
      <c r="N8" s="65">
        <f>'MW DATA'!K6*'EFFICIENT FRONTIER ANALYSIS'!$F8*'EFFICIENT FRONTIER ANALYSIS'!N$1</f>
        <v>20.286783701851899</v>
      </c>
      <c r="O8" s="65">
        <f>IF($F$8=0,1,'MW DATA'!L6*'EFFICIENT FRONTIER ANALYSIS'!$F8*'EFFICIENT FRONTIER ANALYSIS'!O$1)</f>
        <v>28.186146977851902</v>
      </c>
      <c r="P8" s="65">
        <f>'MW DATA'!M6*'EFFICIENT FRONTIER ANALYSIS'!$F8*'EFFICIENT FRONTIER ANALYSIS'!P$1</f>
        <v>17.218847538066999</v>
      </c>
      <c r="Q8" s="65">
        <f>'MW DATA'!N6*'EFFICIENT FRONTIER ANALYSIS'!$F8*'EFFICIENT FRONTIER ANALYSIS'!Q$1</f>
        <v>0</v>
      </c>
      <c r="R8" s="65">
        <f>'MW DATA'!O6*'EFFICIENT FRONTIER ANALYSIS'!$F8*'EFFICIENT FRONTIER ANALYSIS'!R$1</f>
        <v>1.8097199321714901</v>
      </c>
      <c r="S8" s="66">
        <f>'MW DATA'!P6*'EFFICIENT FRONTIER ANALYSIS'!$F8*'EFFICIENT FRONTIER ANALYSIS'!S$1</f>
        <v>14.3492424358622</v>
      </c>
      <c r="U8" s="3" t="str">
        <v>KWEICHOU MOUTAI</v>
      </c>
      <c r="V8" s="5">
        <v>-4.5877913354317153E-3</v>
      </c>
      <c r="W8" s="5">
        <v>0</v>
      </c>
      <c r="X8" s="5">
        <v>0</v>
      </c>
      <c r="Y8" s="5">
        <v>-8.0855218180777705E-3</v>
      </c>
      <c r="Z8" s="5">
        <v>5.3521717929691466E-2</v>
      </c>
      <c r="AA8" s="5">
        <v>-3.4152065477327026E-3</v>
      </c>
      <c r="AB8" s="5">
        <v>0</v>
      </c>
      <c r="AC8" s="5">
        <v>1.6732586161565199E-3</v>
      </c>
      <c r="AD8" s="5">
        <v>-1.355775926005159E-2</v>
      </c>
    </row>
    <row r="9" spans="1:30">
      <c r="A9" t="str">
        <v>AMAZON</v>
      </c>
      <c r="B9" s="3">
        <f>IF(F9=0,-1,F9*'MW DATA'!B7)</f>
        <v>2.7674170282091</v>
      </c>
      <c r="C9" s="3">
        <f>IF(F9=0,-1,F9*'MW DATA'!C7)</f>
        <v>10.522229674734101</v>
      </c>
      <c r="D9" s="3">
        <f t="shared" si="4"/>
        <v>3.8021843356017193</v>
      </c>
      <c r="F9" s="7">
        <f>'EFFICIENT FRONTIER GRAPHS'!B8</f>
        <v>1</v>
      </c>
      <c r="G9" s="32">
        <f t="shared" si="2"/>
        <v>8.0649297341749471E-2</v>
      </c>
      <c r="H9" s="32">
        <f t="shared" si="3"/>
        <v>8.0649297341749471E-2</v>
      </c>
      <c r="I9" s="32"/>
      <c r="J9" s="3" t="str">
        <v>AMAZON</v>
      </c>
      <c r="K9" s="64">
        <f>'MW DATA'!H7*'EFFICIENT FRONTIER ANALYSIS'!$F9*'EFFICIENT FRONTIER ANALYSIS'!K$1</f>
        <v>34.323313542058401</v>
      </c>
      <c r="L9" s="65">
        <f>'MW DATA'!I7*'EFFICIENT FRONTIER ANALYSIS'!$F9*'EFFICIENT FRONTIER ANALYSIS'!L$1</f>
        <v>0</v>
      </c>
      <c r="M9" s="65">
        <f>'MW DATA'!J7*'EFFICIENT FRONTIER ANALYSIS'!$F9*'EFFICIENT FRONTIER ANALYSIS'!M$1</f>
        <v>0</v>
      </c>
      <c r="N9" s="65">
        <f>'MW DATA'!K7*'EFFICIENT FRONTIER ANALYSIS'!$F9*'EFFICIENT FRONTIER ANALYSIS'!N$1</f>
        <v>31.656090442064901</v>
      </c>
      <c r="O9" s="65">
        <f>'MW DATA'!L7*'EFFICIENT FRONTIER ANALYSIS'!$F9*'EFFICIENT FRONTIER ANALYSIS'!O$1</f>
        <v>17.218847538066999</v>
      </c>
      <c r="P9" s="65">
        <f>IF($F$9=0,1,'MW DATA'!M7*'EFFICIENT FRONTIER ANALYSIS'!$F9*'EFFICIENT FRONTIER ANALYSIS'!P$1)</f>
        <v>110.717317327854</v>
      </c>
      <c r="Q9" s="65">
        <f>'MW DATA'!N7*'EFFICIENT FRONTIER ANALYSIS'!$F9*'EFFICIENT FRONTIER ANALYSIS'!Q$1</f>
        <v>0</v>
      </c>
      <c r="R9" s="65">
        <f>'MW DATA'!O7*'EFFICIENT FRONTIER ANALYSIS'!$F9*'EFFICIENT FRONTIER ANALYSIS'!R$1</f>
        <v>55.573383644327699</v>
      </c>
      <c r="S9" s="66">
        <f>'MW DATA'!P7*'EFFICIENT FRONTIER ANALYSIS'!$F9*'EFFICIENT FRONTIER ANALYSIS'!S$1</f>
        <v>16.449932635577099</v>
      </c>
      <c r="U9" s="3" t="str">
        <v>AMAZON</v>
      </c>
      <c r="V9" s="5">
        <v>-2.0789510798844201E-3</v>
      </c>
      <c r="W9" s="5">
        <v>0</v>
      </c>
      <c r="X9" s="5">
        <v>0</v>
      </c>
      <c r="Y9" s="5">
        <v>-2.5808671293748118E-3</v>
      </c>
      <c r="Z9" s="5">
        <v>-3.4152065477327017E-3</v>
      </c>
      <c r="AA9" s="5">
        <v>1.2448270824349923E-2</v>
      </c>
      <c r="AB9" s="5">
        <v>0</v>
      </c>
      <c r="AC9" s="5">
        <v>-2.6164177844810806E-3</v>
      </c>
      <c r="AD9" s="5">
        <v>-1.2749832063211762E-3</v>
      </c>
    </row>
    <row r="10" spans="1:30">
      <c r="A10" t="str">
        <v>STARBUCKS</v>
      </c>
      <c r="B10" s="3">
        <f>IF(F10=0,-1,F10*'MW DATA'!B8)</f>
        <v>-1</v>
      </c>
      <c r="C10" s="3">
        <f>IF(F10=0,-1,F10*'MW DATA'!C8)</f>
        <v>-1</v>
      </c>
      <c r="D10" s="3">
        <f t="shared" si="4"/>
        <v>0</v>
      </c>
      <c r="F10" s="7">
        <f>'EFFICIENT FRONTIER GRAPHS'!B9</f>
        <v>0</v>
      </c>
      <c r="G10" s="32">
        <f t="shared" si="2"/>
        <v>0</v>
      </c>
      <c r="H10" s="32">
        <f t="shared" si="3"/>
        <v>0</v>
      </c>
      <c r="I10" s="32"/>
      <c r="J10" s="3" t="str">
        <v>STARBUCKS</v>
      </c>
      <c r="K10" s="64">
        <f>'MW DATA'!H8*'EFFICIENT FRONTIER ANALYSIS'!$F10*'EFFICIENT FRONTIER ANALYSIS'!K$1</f>
        <v>0</v>
      </c>
      <c r="L10" s="65">
        <f>'MW DATA'!I8*'EFFICIENT FRONTIER ANALYSIS'!$F10*'EFFICIENT FRONTIER ANALYSIS'!L$1</f>
        <v>0</v>
      </c>
      <c r="M10" s="65">
        <f>'MW DATA'!J8*'EFFICIENT FRONTIER ANALYSIS'!$F10*'EFFICIENT FRONTIER ANALYSIS'!M$1</f>
        <v>0</v>
      </c>
      <c r="N10" s="65">
        <f>'MW DATA'!K8*'EFFICIENT FRONTIER ANALYSIS'!$F10*'EFFICIENT FRONTIER ANALYSIS'!N$1</f>
        <v>0</v>
      </c>
      <c r="O10" s="65">
        <f>'MW DATA'!L8*'EFFICIENT FRONTIER ANALYSIS'!$F10*'EFFICIENT FRONTIER ANALYSIS'!O$1</f>
        <v>0</v>
      </c>
      <c r="P10" s="65">
        <f>'MW DATA'!M8*'EFFICIENT FRONTIER ANALYSIS'!$F10*'EFFICIENT FRONTIER ANALYSIS'!P$1</f>
        <v>0</v>
      </c>
      <c r="Q10" s="65">
        <f>IF($F$10=0,1,'MW DATA'!N8*'EFFICIENT FRONTIER ANALYSIS'!$F10*'EFFICIENT FRONTIER ANALYSIS'!Q$1)</f>
        <v>1</v>
      </c>
      <c r="R10" s="65">
        <f>'MW DATA'!O8*'EFFICIENT FRONTIER ANALYSIS'!$F10*'EFFICIENT FRONTIER ANALYSIS'!R$1</f>
        <v>0</v>
      </c>
      <c r="S10" s="66">
        <f>'MW DATA'!P8*'EFFICIENT FRONTIER ANALYSIS'!$F10*'EFFICIENT FRONTIER ANALYSIS'!S$1</f>
        <v>0</v>
      </c>
      <c r="U10" s="3" t="str">
        <v>STARBUCKS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</row>
    <row r="11" spans="1:30">
      <c r="A11" t="str">
        <v>NETFLIX</v>
      </c>
      <c r="B11" s="3">
        <f>IF(F11=0,-1,F11*'MW DATA'!B9)</f>
        <v>3.8892750361553401</v>
      </c>
      <c r="C11" s="3">
        <f>IF(F11=0,-1,F11*'MW DATA'!C9)</f>
        <v>15.3898380907657</v>
      </c>
      <c r="D11" s="3">
        <f t="shared" si="4"/>
        <v>3.9569940278584661</v>
      </c>
      <c r="F11" s="7">
        <f>'EFFICIENT FRONTIER GRAPHS'!B10</f>
        <v>1</v>
      </c>
      <c r="G11" s="32">
        <f t="shared" si="2"/>
        <v>0.17288433497250869</v>
      </c>
      <c r="H11" s="32">
        <f t="shared" si="3"/>
        <v>0.17288433497250869</v>
      </c>
      <c r="I11" s="32"/>
      <c r="J11" s="3" t="str">
        <v>NETFLIX</v>
      </c>
      <c r="K11" s="64">
        <f>'MW DATA'!H9*'EFFICIENT FRONTIER ANALYSIS'!$F11*'EFFICIENT FRONTIER ANALYSIS'!K$1</f>
        <v>12.511158459504401</v>
      </c>
      <c r="L11" s="65">
        <f>'MW DATA'!I9*'EFFICIENT FRONTIER ANALYSIS'!$F11*'EFFICIENT FRONTIER ANALYSIS'!L$1</f>
        <v>0</v>
      </c>
      <c r="M11" s="65">
        <f>'MW DATA'!J9*'EFFICIENT FRONTIER ANALYSIS'!$F11*'EFFICIENT FRONTIER ANALYSIS'!M$1</f>
        <v>0</v>
      </c>
      <c r="N11" s="65">
        <f>'MW DATA'!K9*'EFFICIENT FRONTIER ANALYSIS'!$F11*'EFFICIENT FRONTIER ANALYSIS'!N$1</f>
        <v>9.2169261008411194</v>
      </c>
      <c r="O11" s="65">
        <f>'MW DATA'!L9*'EFFICIENT FRONTIER ANALYSIS'!$F11*'EFFICIENT FRONTIER ANALYSIS'!O$1</f>
        <v>1.8097199321714901</v>
      </c>
      <c r="P11" s="65">
        <f>'MW DATA'!M9*'EFFICIENT FRONTIER ANALYSIS'!$F11*'EFFICIENT FRONTIER ANALYSIS'!P$1</f>
        <v>55.573383644327699</v>
      </c>
      <c r="Q11" s="65">
        <f>'MW DATA'!N9*'EFFICIENT FRONTIER ANALYSIS'!$F11*'EFFICIENT FRONTIER ANALYSIS'!Q$1</f>
        <v>0</v>
      </c>
      <c r="R11" s="65">
        <f>IF($F$11=0,1,'MW DATA'!O9*'EFFICIENT FRONTIER ANALYSIS'!$F11*'EFFICIENT FRONTIER ANALYSIS'!R$1)</f>
        <v>236.84711645998399</v>
      </c>
      <c r="S11" s="66">
        <f>'MW DATA'!P9*'EFFICIENT FRONTIER ANALYSIS'!$F11*'EFFICIENT FRONTIER ANALYSIS'!S$1</f>
        <v>12.645819240399099</v>
      </c>
      <c r="U11" s="3" t="str">
        <v>NETFLIX</v>
      </c>
      <c r="V11" s="5">
        <v>6.0538418487572262E-5</v>
      </c>
      <c r="W11" s="5">
        <v>0</v>
      </c>
      <c r="X11" s="5">
        <v>0</v>
      </c>
      <c r="Y11" s="5">
        <v>2.2673733529080225E-4</v>
      </c>
      <c r="Z11" s="5">
        <v>1.6732586161565196E-3</v>
      </c>
      <c r="AA11" s="5">
        <v>-2.6164177844810806E-3</v>
      </c>
      <c r="AB11" s="5">
        <v>0</v>
      </c>
      <c r="AC11" s="5">
        <v>4.8736526712674175E-3</v>
      </c>
      <c r="AD11" s="5">
        <v>-1.1689831006559211E-3</v>
      </c>
    </row>
    <row r="12" spans="1:30" ht="15" thickBot="1">
      <c r="A12" t="str">
        <v>NIKE</v>
      </c>
      <c r="B12" s="3">
        <f>IF(F12=0,-1,F12*'MW DATA'!B10)</f>
        <v>1.5037438833802399</v>
      </c>
      <c r="C12" s="3">
        <f>IF(F12=0,-1,F12*'MW DATA'!C10)</f>
        <v>6.3241099687486804</v>
      </c>
      <c r="D12" s="3">
        <f t="shared" si="4"/>
        <v>4.2055765204729028</v>
      </c>
      <c r="F12" s="7">
        <f>'EFFICIENT FRONTIER GRAPHS'!B11</f>
        <v>1</v>
      </c>
      <c r="G12" s="32">
        <f t="shared" si="2"/>
        <v>0.20644003689528212</v>
      </c>
      <c r="H12" s="32">
        <f t="shared" si="3"/>
        <v>0.20644003689528212</v>
      </c>
      <c r="I12" s="32"/>
      <c r="J12" s="3" t="str">
        <v>NIKE</v>
      </c>
      <c r="K12" s="67">
        <f>'MW DATA'!H10*'EFFICIENT FRONTIER ANALYSIS'!$F12*'EFFICIENT FRONTIER ANALYSIS'!K$1</f>
        <v>17.581467458766198</v>
      </c>
      <c r="L12" s="68">
        <f>'MW DATA'!I10*'EFFICIENT FRONTIER ANALYSIS'!$F12*'EFFICIENT FRONTIER ANALYSIS'!L$1</f>
        <v>0</v>
      </c>
      <c r="M12" s="68">
        <f>'MW DATA'!J10*'EFFICIENT FRONTIER ANALYSIS'!$F12*'EFFICIENT FRONTIER ANALYSIS'!M$1</f>
        <v>0</v>
      </c>
      <c r="N12" s="68">
        <f>'MW DATA'!K10*'EFFICIENT FRONTIER ANALYSIS'!$F12*'EFFICIENT FRONTIER ANALYSIS'!N$1</f>
        <v>13.614682487105799</v>
      </c>
      <c r="O12" s="68">
        <f>'MW DATA'!L10*'EFFICIENT FRONTIER ANALYSIS'!$F12*'EFFICIENT FRONTIER ANALYSIS'!O$1</f>
        <v>14.3492424358622</v>
      </c>
      <c r="P12" s="68">
        <f>'MW DATA'!M10*'EFFICIENT FRONTIER ANALYSIS'!$F12*'EFFICIENT FRONTIER ANALYSIS'!P$1</f>
        <v>16.449932635577099</v>
      </c>
      <c r="Q12" s="68">
        <f>'MW DATA'!N10*'EFFICIENT FRONTIER ANALYSIS'!$F12*'EFFICIENT FRONTIER ANALYSIS'!Q$1</f>
        <v>0</v>
      </c>
      <c r="R12" s="68">
        <f>'MW DATA'!O10*'EFFICIENT FRONTIER ANALYSIS'!$F12*'EFFICIENT FRONTIER ANALYSIS'!R$1</f>
        <v>12.645819240399099</v>
      </c>
      <c r="S12" s="69">
        <f>IF($F$12=0,1,'MW DATA'!P10*'EFFICIENT FRONTIER ANALYSIS'!$F12*'EFFICIENT FRONTIER ANALYSIS'!S$1)</f>
        <v>39.994366896826399</v>
      </c>
      <c r="U12" s="3" t="str">
        <v>NIKE</v>
      </c>
      <c r="V12" s="5">
        <v>-2.2873310306818812E-3</v>
      </c>
      <c r="W12" s="5">
        <v>0</v>
      </c>
      <c r="X12" s="5">
        <v>0</v>
      </c>
      <c r="Y12" s="5">
        <v>-1.7215199295030992E-4</v>
      </c>
      <c r="Z12" s="5">
        <v>-1.355775926005159E-2</v>
      </c>
      <c r="AA12" s="5">
        <v>-1.2749832063211762E-3</v>
      </c>
      <c r="AB12" s="5">
        <v>0</v>
      </c>
      <c r="AC12" s="5">
        <v>-1.1689831006559211E-3</v>
      </c>
      <c r="AD12" s="5">
        <v>3.1825935523407199E-2</v>
      </c>
    </row>
    <row r="13" spans="1:30">
      <c r="G13" s="50">
        <f>'EFFICIENT FRONTIER GRAPHS'!B13*SUM(G4:G12)</f>
        <v>100000</v>
      </c>
      <c r="H13" s="50">
        <f>'EFFICIENT FRONTIER GRAPHS'!B13*SUM(H4:H12)</f>
        <v>100000</v>
      </c>
      <c r="I13" s="5"/>
    </row>
    <row r="14" spans="1:30">
      <c r="A14" s="28" t="s">
        <v>47</v>
      </c>
      <c r="B14" s="3">
        <f>'EFFICIENT FRONTIER GRAPHS'!$B$15</f>
        <v>1.3722867336592626</v>
      </c>
      <c r="C14">
        <f>SUMPRODUCT(B15:B16,C15:C16)</f>
        <v>1.3722867336592626</v>
      </c>
      <c r="F14">
        <f>SUMPRODUCT(B15:B16,F15:F16)</f>
        <v>1.9892739505377692</v>
      </c>
      <c r="G14" s="7"/>
      <c r="J14"/>
      <c r="L14" s="2" t="s">
        <v>39</v>
      </c>
      <c r="M14" s="2">
        <v>2</v>
      </c>
      <c r="N14" s="2">
        <f>M14-N35</f>
        <v>-0.5133995534906246</v>
      </c>
    </row>
    <row r="15" spans="1:30">
      <c r="A15" s="28" t="s">
        <v>42</v>
      </c>
      <c r="B15" s="34">
        <f>1-F15/F16</f>
        <v>0.45579148672537917</v>
      </c>
      <c r="C15" s="2">
        <f>B1</f>
        <v>5.8314626421251958E-3</v>
      </c>
      <c r="D15">
        <v>0</v>
      </c>
      <c r="E15" t="s">
        <v>49</v>
      </c>
      <c r="F15" s="3">
        <f>(B14-B1)</f>
        <v>1.3664552710171374</v>
      </c>
      <c r="G15" s="3"/>
      <c r="J15"/>
    </row>
    <row r="16" spans="1:30">
      <c r="A16" s="28" t="s">
        <v>46</v>
      </c>
      <c r="B16" s="34">
        <f>1-B15</f>
        <v>0.54420851327462083</v>
      </c>
      <c r="C16" s="2">
        <f>K49</f>
        <v>2.51673534908609</v>
      </c>
      <c r="D16" s="2">
        <f>K51</f>
        <v>5.8435802543762945</v>
      </c>
      <c r="E16" t="s">
        <v>50</v>
      </c>
      <c r="F16" s="3">
        <f>(K49-B1)</f>
        <v>2.5109038864439648</v>
      </c>
      <c r="G16" s="3"/>
      <c r="J16"/>
    </row>
    <row r="17" spans="1:28">
      <c r="A17" s="28" t="s">
        <v>51</v>
      </c>
      <c r="B17" s="49">
        <f>SUMPRODUCT(B15:B16,D15:D16)</f>
        <v>3.1801261224350537</v>
      </c>
      <c r="C17" s="3"/>
      <c r="D17" s="3"/>
      <c r="J17"/>
    </row>
    <row r="18" spans="1:28">
      <c r="A18" s="28"/>
      <c r="B18" s="34"/>
      <c r="C18" s="3"/>
      <c r="D18" s="3"/>
      <c r="J18"/>
      <c r="M18" s="8" t="s">
        <v>9</v>
      </c>
      <c r="N18" s="2">
        <v>0</v>
      </c>
    </row>
    <row r="19" spans="1:28">
      <c r="A19" s="28"/>
      <c r="B19" s="34"/>
      <c r="C19" s="3"/>
      <c r="D19" s="3"/>
    </row>
    <row r="20" spans="1:28" ht="15" thickBot="1">
      <c r="A20" s="6" t="s">
        <v>3</v>
      </c>
      <c r="B20" s="35">
        <f>1-B15</f>
        <v>0.54420851327462083</v>
      </c>
      <c r="F20" s="46" t="s">
        <v>4</v>
      </c>
      <c r="G20" s="6"/>
      <c r="H20" s="47" t="s">
        <v>5</v>
      </c>
      <c r="I20" s="2"/>
      <c r="J20" s="39" t="s">
        <v>18</v>
      </c>
      <c r="N20" s="2" t="s">
        <v>10</v>
      </c>
      <c r="P20" s="2" t="s">
        <v>14</v>
      </c>
      <c r="Q20" s="2">
        <v>-4</v>
      </c>
      <c r="S20"/>
    </row>
    <row r="21" spans="1:28">
      <c r="A21" s="108" t="s">
        <v>72</v>
      </c>
      <c r="B21">
        <v>1</v>
      </c>
      <c r="D21" s="15">
        <f t="shared" ref="D21:D29" si="5">B21*F4</f>
        <v>1</v>
      </c>
      <c r="F21" s="21">
        <f t="array" ref="F21:F29">MMULT($V$4:$AD$12,D21:D29)</f>
        <v>6.6927795478333857E-4</v>
      </c>
      <c r="H21" s="9">
        <f t="shared" ref="H21:H29" si="6">F21/$F$30</f>
        <v>1.451861617735146E-2</v>
      </c>
      <c r="I21" s="2"/>
      <c r="J21" s="40" t="s">
        <v>11</v>
      </c>
      <c r="K21" s="41">
        <f>SUMPRODUCT($B$4:$B$12,H21:H29)</f>
        <v>1.6009419379210816</v>
      </c>
      <c r="M21" s="108" t="s">
        <v>72</v>
      </c>
      <c r="N21" s="9">
        <f t="array" ref="N21:N29">N18*H21:H29+(1-N18)*H35:H43</f>
        <v>0.28531435496898555</v>
      </c>
      <c r="P21" s="2" t="s">
        <v>15</v>
      </c>
      <c r="Q21" s="2">
        <v>1</v>
      </c>
      <c r="S21"/>
    </row>
    <row r="22" spans="1:28">
      <c r="A22" s="108" t="s">
        <v>73</v>
      </c>
      <c r="B22">
        <v>1</v>
      </c>
      <c r="D22" s="16">
        <f t="shared" si="5"/>
        <v>0</v>
      </c>
      <c r="F22" s="22">
        <v>0</v>
      </c>
      <c r="H22" s="10">
        <f t="shared" si="6"/>
        <v>0</v>
      </c>
      <c r="I22" s="2"/>
      <c r="J22" s="42" t="s">
        <v>13</v>
      </c>
      <c r="K22" s="43">
        <f t="array" ref="K22">MMULT(TRANSPOSE(H21:H29),MMULT($K$4:$S$12,H21:H29))</f>
        <v>21.692954434830419</v>
      </c>
      <c r="M22" s="108" t="s">
        <v>73</v>
      </c>
      <c r="N22" s="10">
        <v>0</v>
      </c>
      <c r="P22" s="2" t="s">
        <v>16</v>
      </c>
      <c r="Q22" s="2">
        <v>50</v>
      </c>
      <c r="S22"/>
    </row>
    <row r="23" spans="1:28" ht="15" thickBot="1">
      <c r="A23" s="108" t="s">
        <v>74</v>
      </c>
      <c r="B23">
        <v>1</v>
      </c>
      <c r="D23" s="16">
        <f t="shared" si="5"/>
        <v>0</v>
      </c>
      <c r="F23" s="22">
        <v>0</v>
      </c>
      <c r="H23" s="10">
        <f t="shared" si="6"/>
        <v>0</v>
      </c>
      <c r="I23" s="2"/>
      <c r="J23" s="44" t="s">
        <v>12</v>
      </c>
      <c r="K23" s="45">
        <f>POWER(K22,0.5)</f>
        <v>4.6575695845398188</v>
      </c>
      <c r="M23" s="108" t="s">
        <v>74</v>
      </c>
      <c r="N23" s="10">
        <v>0</v>
      </c>
      <c r="P23" s="2" t="s">
        <v>17</v>
      </c>
      <c r="Q23" s="2">
        <f>(Q21-Q20)/Q22</f>
        <v>0.1</v>
      </c>
      <c r="S23"/>
    </row>
    <row r="24" spans="1:28">
      <c r="A24" s="113" t="s">
        <v>75</v>
      </c>
      <c r="B24">
        <v>1</v>
      </c>
      <c r="D24" s="16">
        <f t="shared" si="5"/>
        <v>1</v>
      </c>
      <c r="F24" s="22">
        <v>2.9845826950266946E-3</v>
      </c>
      <c r="H24" s="10">
        <f t="shared" si="6"/>
        <v>6.4744416410197472E-2</v>
      </c>
      <c r="I24" s="2"/>
      <c r="M24" s="113" t="s">
        <v>75</v>
      </c>
      <c r="N24" s="10">
        <v>9.8781912807606134E-2</v>
      </c>
      <c r="S24"/>
      <c r="T24" s="3" t="str">
        <f t="array" ref="T24:AB24">V3:AD3</f>
        <v>APPLE</v>
      </c>
      <c r="U24" s="3" t="str">
        <v>SUMSANG</v>
      </c>
      <c r="V24" s="3" t="str">
        <v>MICROSOFT</v>
      </c>
      <c r="W24" s="3" t="str">
        <v>ALPHABET</v>
      </c>
      <c r="X24" s="3" t="str">
        <v>KWEICHOU MOUTAI</v>
      </c>
      <c r="Y24" s="3" t="str">
        <v>AMAZON</v>
      </c>
      <c r="Z24" s="3" t="str">
        <v>STARBUCKS</v>
      </c>
      <c r="AA24" s="3" t="str">
        <v>NETFLIX</v>
      </c>
      <c r="AB24" s="3" t="str">
        <v>NIKE</v>
      </c>
    </row>
    <row r="25" spans="1:28">
      <c r="A25" s="108" t="s">
        <v>76</v>
      </c>
      <c r="B25">
        <v>1</v>
      </c>
      <c r="D25" s="16">
        <f t="shared" si="5"/>
        <v>1</v>
      </c>
      <c r="F25" s="22">
        <v>2.5548697584554209E-2</v>
      </c>
      <c r="H25" s="10">
        <f t="shared" si="6"/>
        <v>0.55422673257099653</v>
      </c>
      <c r="I25" s="2"/>
      <c r="M25" s="108" t="s">
        <v>76</v>
      </c>
      <c r="N25" s="10">
        <v>0.15627050542031146</v>
      </c>
      <c r="R25" s="2">
        <f>N37</f>
        <v>5.8358259129834664</v>
      </c>
      <c r="S25" s="2">
        <f>N35</f>
        <v>2.5133995534906246</v>
      </c>
      <c r="T25" s="1">
        <f>N21</f>
        <v>0.28531435496898555</v>
      </c>
      <c r="U25" s="1">
        <f>N22</f>
        <v>0</v>
      </c>
      <c r="V25" s="1">
        <f>N23</f>
        <v>0</v>
      </c>
      <c r="W25" s="1">
        <f>N24</f>
        <v>9.8781912807606134E-2</v>
      </c>
      <c r="X25" s="1">
        <f>N25</f>
        <v>0.15627050542031146</v>
      </c>
      <c r="Y25" s="1">
        <f>N26</f>
        <v>8.0393604642341313E-2</v>
      </c>
      <c r="Z25" s="1">
        <f>N27</f>
        <v>0</v>
      </c>
      <c r="AA25" s="1">
        <f>N28</f>
        <v>0.17249550634824734</v>
      </c>
      <c r="AB25" s="1">
        <f>N29</f>
        <v>0.20674411581250809</v>
      </c>
    </row>
    <row r="26" spans="1:28">
      <c r="A26" s="108" t="s">
        <v>77</v>
      </c>
      <c r="B26">
        <v>1</v>
      </c>
      <c r="D26" s="16">
        <f t="shared" si="5"/>
        <v>1</v>
      </c>
      <c r="F26" s="22">
        <v>4.8184507655573122E-4</v>
      </c>
      <c r="H26" s="10">
        <f t="shared" si="6"/>
        <v>1.0452643290370855E-2</v>
      </c>
      <c r="I26" s="2"/>
      <c r="M26" s="108" t="s">
        <v>77</v>
      </c>
      <c r="N26" s="10">
        <v>8.0393604642341313E-2</v>
      </c>
      <c r="P26" s="12">
        <v>0</v>
      </c>
      <c r="Q26" s="2">
        <f>P26*$Q$23+$Q$20</f>
        <v>-4</v>
      </c>
      <c r="R26" s="2">
        <f t="dataTable" ref="R26:AB76" dt2D="0" dtr="0" r1="N18"/>
        <v>18.187652287480724</v>
      </c>
      <c r="S26">
        <v>6.1632300157687983</v>
      </c>
      <c r="T26">
        <v>1.368497310135522</v>
      </c>
      <c r="U26">
        <v>0</v>
      </c>
      <c r="V26">
        <v>0</v>
      </c>
      <c r="W26">
        <v>0.23493189839724077</v>
      </c>
      <c r="X26">
        <v>-1.4355544031824288</v>
      </c>
      <c r="Y26">
        <v>0.36015745005022315</v>
      </c>
      <c r="Z26">
        <v>0</v>
      </c>
      <c r="AA26">
        <v>0.59792881508097051</v>
      </c>
      <c r="AB26">
        <v>-0.12596107048152705</v>
      </c>
    </row>
    <row r="27" spans="1:28">
      <c r="A27" s="108" t="s">
        <v>78</v>
      </c>
      <c r="B27">
        <v>1</v>
      </c>
      <c r="D27" s="16">
        <f t="shared" si="5"/>
        <v>0</v>
      </c>
      <c r="F27" s="22">
        <v>0</v>
      </c>
      <c r="H27" s="10">
        <f t="shared" si="6"/>
        <v>0</v>
      </c>
      <c r="I27" s="2"/>
      <c r="M27" s="108" t="s">
        <v>78</v>
      </c>
      <c r="N27" s="10">
        <v>0</v>
      </c>
      <c r="P27" s="12">
        <f t="shared" ref="P27:P58" si="7">P26+1</f>
        <v>1</v>
      </c>
      <c r="Q27" s="2">
        <f t="shared" ref="Q27:Q57" si="8">P27*$Q$23+$Q$20</f>
        <v>-3.9</v>
      </c>
      <c r="R27" s="2">
        <v>17.84798098315331</v>
      </c>
      <c r="S27">
        <v>6.071984254211845</v>
      </c>
      <c r="T27">
        <v>1.3414177362563586</v>
      </c>
      <c r="U27">
        <v>0</v>
      </c>
      <c r="V27">
        <v>0</v>
      </c>
      <c r="W27">
        <v>0.23152814875749994</v>
      </c>
      <c r="X27">
        <v>-1.3957587804673603</v>
      </c>
      <c r="Y27">
        <v>0.35316335391502612</v>
      </c>
      <c r="Z27">
        <v>0</v>
      </c>
      <c r="AA27">
        <v>0.58729298236265248</v>
      </c>
      <c r="AB27">
        <v>-0.11764344082417599</v>
      </c>
    </row>
    <row r="28" spans="1:28">
      <c r="A28" s="108" t="s">
        <v>79</v>
      </c>
      <c r="B28">
        <v>1</v>
      </c>
      <c r="D28" s="16">
        <f t="shared" si="5"/>
        <v>1</v>
      </c>
      <c r="F28" s="22">
        <v>3.0487861560653095E-3</v>
      </c>
      <c r="H28" s="10">
        <f t="shared" si="6"/>
        <v>6.6137179165066562E-2</v>
      </c>
      <c r="I28" s="2"/>
      <c r="M28" s="108" t="s">
        <v>79</v>
      </c>
      <c r="N28" s="10">
        <v>0.17249550634824734</v>
      </c>
      <c r="P28" s="12">
        <f t="shared" si="7"/>
        <v>2</v>
      </c>
      <c r="Q28" s="2">
        <f t="shared" si="8"/>
        <v>-3.8</v>
      </c>
      <c r="R28" s="2">
        <v>17.508781591325473</v>
      </c>
      <c r="S28">
        <v>5.9807384926548881</v>
      </c>
      <c r="T28">
        <v>1.314338162377195</v>
      </c>
      <c r="U28">
        <v>0</v>
      </c>
      <c r="V28">
        <v>0</v>
      </c>
      <c r="W28">
        <v>0.22812439911775903</v>
      </c>
      <c r="X28">
        <v>-1.3559631577522917</v>
      </c>
      <c r="Y28">
        <v>0.34616925777982904</v>
      </c>
      <c r="Z28">
        <v>0</v>
      </c>
      <c r="AA28">
        <v>0.57665714964433434</v>
      </c>
      <c r="AB28">
        <v>-0.10932581116682549</v>
      </c>
    </row>
    <row r="29" spans="1:28" ht="15" thickBot="1">
      <c r="A29" s="111" t="s">
        <v>80</v>
      </c>
      <c r="B29">
        <v>1</v>
      </c>
      <c r="D29" s="17">
        <f t="shared" si="5"/>
        <v>1</v>
      </c>
      <c r="F29" s="23">
        <v>1.3364726932746322E-2</v>
      </c>
      <c r="H29" s="11">
        <f t="shared" si="6"/>
        <v>0.2899204123860169</v>
      </c>
      <c r="I29" s="2"/>
      <c r="M29" s="111" t="s">
        <v>80</v>
      </c>
      <c r="N29" s="11">
        <v>0.20674411581250809</v>
      </c>
      <c r="P29" s="12">
        <f t="shared" si="7"/>
        <v>3</v>
      </c>
      <c r="Q29" s="2">
        <f t="shared" si="8"/>
        <v>-3.7</v>
      </c>
      <c r="R29" s="2">
        <v>17.17008208027876</v>
      </c>
      <c r="S29">
        <v>5.8894927310979339</v>
      </c>
      <c r="T29">
        <v>1.2872585884980317</v>
      </c>
      <c r="U29">
        <v>0</v>
      </c>
      <c r="V29">
        <v>0</v>
      </c>
      <c r="W29">
        <v>0.2247206494780182</v>
      </c>
      <c r="X29">
        <v>-1.3161675350372233</v>
      </c>
      <c r="Y29">
        <v>0.33917516164463202</v>
      </c>
      <c r="Z29">
        <v>0</v>
      </c>
      <c r="AA29">
        <v>0.5660213169260162</v>
      </c>
      <c r="AB29">
        <v>-0.10100818150947444</v>
      </c>
    </row>
    <row r="30" spans="1:28">
      <c r="D30" s="7"/>
      <c r="F30" s="24">
        <f>SUM(F21:F29)</f>
        <v>4.6097916399731612E-2</v>
      </c>
      <c r="H30" s="5">
        <f>SUM(H21:H29)</f>
        <v>0.99999999999999978</v>
      </c>
      <c r="I30" s="2"/>
      <c r="N30" s="5">
        <f>SUM(N21:N29)</f>
        <v>0.99999999999999978</v>
      </c>
      <c r="P30" s="12">
        <f t="shared" si="7"/>
        <v>4</v>
      </c>
      <c r="Q30" s="2">
        <f t="shared" si="8"/>
        <v>-3.6</v>
      </c>
      <c r="R30" s="2">
        <v>16.831912626535292</v>
      </c>
      <c r="S30">
        <v>5.7982469695409797</v>
      </c>
      <c r="T30">
        <v>1.2601790146188683</v>
      </c>
      <c r="U30">
        <v>0</v>
      </c>
      <c r="V30">
        <v>0</v>
      </c>
      <c r="W30">
        <v>0.22131689983827729</v>
      </c>
      <c r="X30">
        <v>-1.2763719123221549</v>
      </c>
      <c r="Y30">
        <v>0.33218106550943494</v>
      </c>
      <c r="Z30">
        <v>0</v>
      </c>
      <c r="AA30">
        <v>0.55538548420769818</v>
      </c>
      <c r="AB30">
        <v>-9.2690551852123826E-2</v>
      </c>
    </row>
    <row r="31" spans="1:28">
      <c r="D31" s="7"/>
      <c r="F31" s="24"/>
      <c r="H31" s="2"/>
      <c r="I31" s="2"/>
      <c r="P31" s="12">
        <f t="shared" si="7"/>
        <v>5</v>
      </c>
      <c r="Q31" s="2">
        <f t="shared" si="8"/>
        <v>-3.5</v>
      </c>
      <c r="R31" s="2">
        <v>16.494305832139862</v>
      </c>
      <c r="S31">
        <v>5.7070012079840264</v>
      </c>
      <c r="T31">
        <v>1.2330994407397049</v>
      </c>
      <c r="U31">
        <v>0</v>
      </c>
      <c r="V31">
        <v>0</v>
      </c>
      <c r="W31">
        <v>0.21791315019853646</v>
      </c>
      <c r="X31">
        <v>-1.2365762896070862</v>
      </c>
      <c r="Y31">
        <v>0.32518696937423791</v>
      </c>
      <c r="Z31">
        <v>0</v>
      </c>
      <c r="AA31">
        <v>0.54474965148938015</v>
      </c>
      <c r="AB31">
        <v>-8.437292219477277E-2</v>
      </c>
    </row>
    <row r="32" spans="1:28">
      <c r="D32" s="7"/>
      <c r="F32" s="24"/>
      <c r="H32" s="2"/>
      <c r="I32" s="2"/>
      <c r="P32" s="12">
        <f t="shared" si="7"/>
        <v>6</v>
      </c>
      <c r="Q32" s="2">
        <f t="shared" si="8"/>
        <v>-3.4</v>
      </c>
      <c r="R32" s="2">
        <v>16.157296967439954</v>
      </c>
      <c r="S32">
        <v>5.6157554464270723</v>
      </c>
      <c r="T32">
        <v>1.2060198668605415</v>
      </c>
      <c r="U32">
        <v>0</v>
      </c>
      <c r="V32">
        <v>0</v>
      </c>
      <c r="W32">
        <v>0.21450940055879561</v>
      </c>
      <c r="X32">
        <v>-1.1967806668920176</v>
      </c>
      <c r="Y32">
        <v>0.31819287323904089</v>
      </c>
      <c r="Z32">
        <v>0</v>
      </c>
      <c r="AA32">
        <v>0.53411381877106212</v>
      </c>
      <c r="AB32">
        <v>-7.6055292537421715E-2</v>
      </c>
    </row>
    <row r="33" spans="1:28">
      <c r="D33" s="7"/>
      <c r="F33" s="24"/>
      <c r="H33" s="2"/>
      <c r="I33" s="2"/>
      <c r="P33" s="12">
        <f t="shared" si="7"/>
        <v>7</v>
      </c>
      <c r="Q33" s="2">
        <f t="shared" si="8"/>
        <v>-3.3</v>
      </c>
      <c r="R33" s="2">
        <v>15.820924242817227</v>
      </c>
      <c r="S33">
        <v>5.5245096848701172</v>
      </c>
      <c r="T33">
        <v>1.1789402929813781</v>
      </c>
      <c r="U33">
        <v>0</v>
      </c>
      <c r="V33">
        <v>0</v>
      </c>
      <c r="W33">
        <v>0.2111056509190547</v>
      </c>
      <c r="X33">
        <v>-1.1569850441769491</v>
      </c>
      <c r="Y33">
        <v>0.3111987771038438</v>
      </c>
      <c r="Z33">
        <v>0</v>
      </c>
      <c r="AA33">
        <v>0.52347798605274387</v>
      </c>
      <c r="AB33">
        <v>-6.7737662880070992E-2</v>
      </c>
    </row>
    <row r="34" spans="1:28" ht="15" thickBot="1">
      <c r="A34" s="6" t="s">
        <v>6</v>
      </c>
      <c r="D34" s="7"/>
      <c r="F34" s="48" t="s">
        <v>7</v>
      </c>
      <c r="G34" s="6"/>
      <c r="H34" s="47" t="s">
        <v>8</v>
      </c>
      <c r="I34" s="2"/>
      <c r="J34" s="39" t="s">
        <v>19</v>
      </c>
      <c r="M34" s="39" t="s">
        <v>48</v>
      </c>
      <c r="P34" s="12">
        <f t="shared" si="7"/>
        <v>8</v>
      </c>
      <c r="Q34" s="2">
        <f t="shared" si="8"/>
        <v>-3.2</v>
      </c>
      <c r="R34" s="2">
        <v>15.485229113349138</v>
      </c>
      <c r="S34">
        <v>5.4332639233131639</v>
      </c>
      <c r="T34">
        <v>1.1518607191022148</v>
      </c>
      <c r="U34">
        <v>0</v>
      </c>
      <c r="V34">
        <v>0</v>
      </c>
      <c r="W34">
        <v>0.20770190127931384</v>
      </c>
      <c r="X34">
        <v>-1.1171894214618807</v>
      </c>
      <c r="Y34">
        <v>0.30420468096864683</v>
      </c>
      <c r="Z34">
        <v>0</v>
      </c>
      <c r="AA34">
        <v>0.51284215333442584</v>
      </c>
      <c r="AB34">
        <v>-5.9420033222720048E-2</v>
      </c>
    </row>
    <row r="35" spans="1:28">
      <c r="A35" s="108" t="s">
        <v>72</v>
      </c>
      <c r="B35" s="2">
        <f t="shared" ref="B35:B43" si="9">B4</f>
        <v>3.1525566991737199</v>
      </c>
      <c r="D35" s="18">
        <f t="shared" ref="D35:D43" si="10">B35*F4</f>
        <v>3.1525566991737199</v>
      </c>
      <c r="F35" s="21">
        <f t="array" ref="F35:F43">MMULT($V$4:$AD$12,D35:D43)</f>
        <v>2.1056224394559831E-2</v>
      </c>
      <c r="H35" s="9">
        <f t="shared" ref="H35:H43" si="11">F35/$F$44</f>
        <v>0.28531435496898555</v>
      </c>
      <c r="I35" s="2"/>
      <c r="J35" s="40" t="s">
        <v>11</v>
      </c>
      <c r="K35" s="41">
        <f>SUMPRODUCT($B$4:$B$12,H35:H43)</f>
        <v>2.5133995534906246</v>
      </c>
      <c r="M35" s="40" t="s">
        <v>11</v>
      </c>
      <c r="N35" s="41">
        <f>SUMPRODUCT($B$4:$B$12,N21:N29)</f>
        <v>2.5133995534906246</v>
      </c>
      <c r="P35" s="12">
        <f t="shared" si="7"/>
        <v>9</v>
      </c>
      <c r="Q35" s="2">
        <f t="shared" si="8"/>
        <v>-3.1</v>
      </c>
      <c r="R35" s="2">
        <v>15.150256620991806</v>
      </c>
      <c r="S35">
        <v>5.342018161756207</v>
      </c>
      <c r="T35">
        <v>1.1247811452230512</v>
      </c>
      <c r="U35">
        <v>0</v>
      </c>
      <c r="V35">
        <v>0</v>
      </c>
      <c r="W35">
        <v>0.20429815163957293</v>
      </c>
      <c r="X35">
        <v>-1.0773937987468123</v>
      </c>
      <c r="Y35">
        <v>0.2972105848334497</v>
      </c>
      <c r="Z35">
        <v>0</v>
      </c>
      <c r="AA35">
        <v>0.5022063206161077</v>
      </c>
      <c r="AB35">
        <v>-5.1102403565369325E-2</v>
      </c>
    </row>
    <row r="36" spans="1:28">
      <c r="A36" s="108" t="s">
        <v>73</v>
      </c>
      <c r="B36" s="2">
        <f t="shared" si="9"/>
        <v>-1</v>
      </c>
      <c r="D36" s="19">
        <f t="shared" si="10"/>
        <v>0</v>
      </c>
      <c r="F36" s="22">
        <v>0</v>
      </c>
      <c r="H36" s="10">
        <f t="shared" si="11"/>
        <v>0</v>
      </c>
      <c r="I36" s="2"/>
      <c r="J36" s="42" t="s">
        <v>13</v>
      </c>
      <c r="K36" s="43">
        <f t="array" ref="K36">MMULT(TRANSPOSE(H35:H43),MMULT($K$4:$S$12,H35:H43))</f>
        <v>34.056864086649313</v>
      </c>
      <c r="M36" s="42" t="s">
        <v>13</v>
      </c>
      <c r="N36" s="43" cm="1">
        <f t="array" ref="N36">MMULT(TRANSPOSE(N21:N29),MMULT($K$4:$S$12,N21:N29))</f>
        <v>34.056864086649313</v>
      </c>
      <c r="P36" s="12">
        <f t="shared" si="7"/>
        <v>10</v>
      </c>
      <c r="Q36" s="2">
        <f t="shared" si="8"/>
        <v>-3</v>
      </c>
      <c r="R36" s="2">
        <v>14.816055779590354</v>
      </c>
      <c r="S36">
        <v>5.2507724001992537</v>
      </c>
      <c r="T36">
        <v>1.0977015713438878</v>
      </c>
      <c r="U36">
        <v>0</v>
      </c>
      <c r="V36">
        <v>0</v>
      </c>
      <c r="W36">
        <v>0.20089440199983211</v>
      </c>
      <c r="X36">
        <v>-1.0375981760317436</v>
      </c>
      <c r="Y36">
        <v>0.29021648869825267</v>
      </c>
      <c r="Z36">
        <v>0</v>
      </c>
      <c r="AA36">
        <v>0.49157048789778968</v>
      </c>
      <c r="AB36">
        <v>-4.2784773908018381E-2</v>
      </c>
    </row>
    <row r="37" spans="1:28" ht="15" thickBot="1">
      <c r="A37" s="108" t="s">
        <v>74</v>
      </c>
      <c r="B37" s="2">
        <f t="shared" si="9"/>
        <v>-1</v>
      </c>
      <c r="D37" s="19">
        <f t="shared" si="10"/>
        <v>0</v>
      </c>
      <c r="F37" s="22">
        <v>0</v>
      </c>
      <c r="H37" s="10">
        <f t="shared" si="11"/>
        <v>0</v>
      </c>
      <c r="I37" s="2"/>
      <c r="J37" s="44" t="s">
        <v>12</v>
      </c>
      <c r="K37" s="45">
        <f>POWER(K36,0.5)</f>
        <v>5.8358259129834664</v>
      </c>
      <c r="M37" s="44" t="s">
        <v>12</v>
      </c>
      <c r="N37" s="45">
        <f>POWER(N36,0.5)</f>
        <v>5.8358259129834664</v>
      </c>
      <c r="P37" s="12">
        <f t="shared" si="7"/>
        <v>11</v>
      </c>
      <c r="Q37" s="2">
        <f t="shared" si="8"/>
        <v>-2.9</v>
      </c>
      <c r="R37" s="2">
        <v>14.482680008858713</v>
      </c>
      <c r="S37">
        <v>5.1595266386422995</v>
      </c>
      <c r="T37">
        <v>1.0706219974647244</v>
      </c>
      <c r="U37">
        <v>0</v>
      </c>
      <c r="V37">
        <v>0</v>
      </c>
      <c r="W37">
        <v>0.19749065236009125</v>
      </c>
      <c r="X37">
        <v>-0.99780255331667533</v>
      </c>
      <c r="Y37">
        <v>0.28322239256305565</v>
      </c>
      <c r="Z37">
        <v>0</v>
      </c>
      <c r="AA37">
        <v>0.48093465517947165</v>
      </c>
      <c r="AB37">
        <v>-3.4467144250667436E-2</v>
      </c>
    </row>
    <row r="38" spans="1:28">
      <c r="A38" s="113" t="s">
        <v>75</v>
      </c>
      <c r="B38" s="2">
        <f t="shared" si="9"/>
        <v>2.1705397575880898</v>
      </c>
      <c r="D38" s="19">
        <f t="shared" si="10"/>
        <v>2.1705397575880898</v>
      </c>
      <c r="F38" s="22">
        <v>7.2901138199895242E-3</v>
      </c>
      <c r="H38" s="10">
        <f t="shared" si="11"/>
        <v>9.8781912807606134E-2</v>
      </c>
      <c r="I38" s="2"/>
      <c r="P38" s="12">
        <f t="shared" si="7"/>
        <v>12</v>
      </c>
      <c r="Q38" s="2">
        <f t="shared" si="8"/>
        <v>-2.8</v>
      </c>
      <c r="R38" s="2">
        <v>14.15018762444849</v>
      </c>
      <c r="S38">
        <v>5.0682808770853436</v>
      </c>
      <c r="T38">
        <v>1.0435424235855608</v>
      </c>
      <c r="U38">
        <v>0</v>
      </c>
      <c r="V38">
        <v>0</v>
      </c>
      <c r="W38">
        <v>0.1940869027203504</v>
      </c>
      <c r="X38">
        <v>-0.9580069306016068</v>
      </c>
      <c r="Y38">
        <v>0.27622829642785857</v>
      </c>
      <c r="Z38">
        <v>0</v>
      </c>
      <c r="AA38">
        <v>0.47029882246115351</v>
      </c>
      <c r="AB38">
        <v>-2.6149514593316603E-2</v>
      </c>
    </row>
    <row r="39" spans="1:28">
      <c r="A39" s="108" t="s">
        <v>76</v>
      </c>
      <c r="B39" s="2">
        <f t="shared" si="9"/>
        <v>1.2495288605138</v>
      </c>
      <c r="D39" s="19">
        <f t="shared" si="10"/>
        <v>1.2495288605138</v>
      </c>
      <c r="F39" s="22">
        <v>1.1532776991676562E-2</v>
      </c>
      <c r="H39" s="10">
        <f t="shared" si="11"/>
        <v>0.15627050542031146</v>
      </c>
      <c r="I39" s="2"/>
      <c r="P39" s="12">
        <f t="shared" si="7"/>
        <v>13</v>
      </c>
      <c r="Q39" s="2">
        <f t="shared" si="8"/>
        <v>-2.7</v>
      </c>
      <c r="R39" s="2">
        <v>13.818642392370935</v>
      </c>
      <c r="S39">
        <v>4.9770351155283912</v>
      </c>
      <c r="T39">
        <v>1.0164628497063977</v>
      </c>
      <c r="U39">
        <v>0</v>
      </c>
      <c r="V39">
        <v>0</v>
      </c>
      <c r="W39">
        <v>0.19068315308060954</v>
      </c>
      <c r="X39">
        <v>-0.91821130788653837</v>
      </c>
      <c r="Y39">
        <v>0.26923420029266154</v>
      </c>
      <c r="Z39">
        <v>0</v>
      </c>
      <c r="AA39">
        <v>0.45966298974283543</v>
      </c>
      <c r="AB39">
        <v>-1.7831884935965658E-2</v>
      </c>
    </row>
    <row r="40" spans="1:28">
      <c r="A40" s="108" t="s">
        <v>77</v>
      </c>
      <c r="B40" s="2">
        <f t="shared" si="9"/>
        <v>2.7674170282091</v>
      </c>
      <c r="D40" s="19">
        <f t="shared" si="10"/>
        <v>2.7674170282091</v>
      </c>
      <c r="F40" s="22">
        <v>5.9330550662993311E-3</v>
      </c>
      <c r="H40" s="10">
        <f t="shared" si="11"/>
        <v>8.0393604642341313E-2</v>
      </c>
      <c r="I40" s="2"/>
      <c r="P40" s="12">
        <f t="shared" si="7"/>
        <v>14</v>
      </c>
      <c r="Q40" s="2">
        <f t="shared" si="8"/>
        <v>-2.5999999999999996</v>
      </c>
      <c r="R40" s="2">
        <v>13.488114157375866</v>
      </c>
      <c r="S40">
        <v>4.885789353971437</v>
      </c>
      <c r="T40">
        <v>0.98938327582723418</v>
      </c>
      <c r="U40">
        <v>0</v>
      </c>
      <c r="V40">
        <v>0</v>
      </c>
      <c r="W40">
        <v>0.18727940344086866</v>
      </c>
      <c r="X40">
        <v>-0.87841568517146973</v>
      </c>
      <c r="Y40">
        <v>0.26224010415746452</v>
      </c>
      <c r="Z40">
        <v>0</v>
      </c>
      <c r="AA40">
        <v>0.44902715702451734</v>
      </c>
      <c r="AB40">
        <v>-9.5142552786148249E-3</v>
      </c>
    </row>
    <row r="41" spans="1:28">
      <c r="A41" s="108" t="s">
        <v>78</v>
      </c>
      <c r="B41" s="2">
        <f t="shared" si="9"/>
        <v>-1</v>
      </c>
      <c r="D41" s="19">
        <f t="shared" si="10"/>
        <v>0</v>
      </c>
      <c r="F41" s="22">
        <v>0</v>
      </c>
      <c r="H41" s="10">
        <f t="shared" si="11"/>
        <v>0</v>
      </c>
      <c r="I41" s="2"/>
      <c r="P41" s="12">
        <f t="shared" si="7"/>
        <v>15</v>
      </c>
      <c r="Q41" s="2">
        <f t="shared" si="8"/>
        <v>-2.5</v>
      </c>
      <c r="R41" s="2">
        <v>13.158679556460514</v>
      </c>
      <c r="S41">
        <v>4.7945435924144828</v>
      </c>
      <c r="T41">
        <v>0.9623037019480708</v>
      </c>
      <c r="U41">
        <v>0</v>
      </c>
      <c r="V41">
        <v>0</v>
      </c>
      <c r="W41">
        <v>0.18387565380112778</v>
      </c>
      <c r="X41">
        <v>-0.83862006245640131</v>
      </c>
      <c r="Y41">
        <v>0.25524600802226743</v>
      </c>
      <c r="Z41">
        <v>0</v>
      </c>
      <c r="AA41">
        <v>0.43839132430619926</v>
      </c>
      <c r="AB41">
        <v>-1.1966256212638804E-3</v>
      </c>
    </row>
    <row r="42" spans="1:28">
      <c r="A42" s="108" t="s">
        <v>79</v>
      </c>
      <c r="B42" s="2">
        <f t="shared" si="9"/>
        <v>3.8892750361553401</v>
      </c>
      <c r="D42" s="19">
        <f t="shared" si="10"/>
        <v>3.8892750361553401</v>
      </c>
      <c r="F42" s="22">
        <v>1.2730183481713477E-2</v>
      </c>
      <c r="H42" s="10">
        <f t="shared" si="11"/>
        <v>0.17249550634824734</v>
      </c>
      <c r="I42" s="2"/>
      <c r="P42" s="12">
        <f t="shared" si="7"/>
        <v>16</v>
      </c>
      <c r="Q42" s="2">
        <f t="shared" si="8"/>
        <v>-2.4</v>
      </c>
      <c r="R42" s="2">
        <v>12.830422830517195</v>
      </c>
      <c r="S42">
        <v>4.7032978308575286</v>
      </c>
      <c r="T42">
        <v>0.93522412806890742</v>
      </c>
      <c r="U42">
        <v>0</v>
      </c>
      <c r="V42">
        <v>0</v>
      </c>
      <c r="W42">
        <v>0.18047190416138689</v>
      </c>
      <c r="X42">
        <v>-0.79882443974133277</v>
      </c>
      <c r="Y42">
        <v>0.24825191188707044</v>
      </c>
      <c r="Z42">
        <v>0</v>
      </c>
      <c r="AA42">
        <v>0.42775549158788123</v>
      </c>
      <c r="AB42">
        <v>7.1210040360869531E-3</v>
      </c>
    </row>
    <row r="43" spans="1:28" ht="15" thickBot="1">
      <c r="A43" s="111" t="s">
        <v>80</v>
      </c>
      <c r="B43" s="2">
        <f t="shared" si="9"/>
        <v>1.5037438833802399</v>
      </c>
      <c r="D43" s="20">
        <f t="shared" si="10"/>
        <v>1.5037438833802399</v>
      </c>
      <c r="F43" s="23">
        <v>1.525773386087162E-2</v>
      </c>
      <c r="H43" s="11">
        <f t="shared" si="11"/>
        <v>0.20674411581250809</v>
      </c>
      <c r="I43" s="2"/>
      <c r="P43" s="12">
        <f t="shared" si="7"/>
        <v>17</v>
      </c>
      <c r="Q43" s="2">
        <f t="shared" si="8"/>
        <v>-2.2999999999999998</v>
      </c>
      <c r="R43" s="2">
        <v>12.503436749275702</v>
      </c>
      <c r="S43">
        <v>4.6120520693005735</v>
      </c>
      <c r="T43">
        <v>0.90814455418974394</v>
      </c>
      <c r="U43">
        <v>0</v>
      </c>
      <c r="V43">
        <v>0</v>
      </c>
      <c r="W43">
        <v>0.17706815452164604</v>
      </c>
      <c r="X43">
        <v>-0.75902881702626424</v>
      </c>
      <c r="Y43">
        <v>0.24125781575187338</v>
      </c>
      <c r="Z43">
        <v>0</v>
      </c>
      <c r="AA43">
        <v>0.41711965886956309</v>
      </c>
      <c r="AB43">
        <v>1.5438633693437898E-2</v>
      </c>
    </row>
    <row r="44" spans="1:28">
      <c r="F44" s="24">
        <f>SUM(F35:F43)</f>
        <v>7.3800087615110352E-2</v>
      </c>
      <c r="H44" s="5">
        <f>SUM(H35:H43)</f>
        <v>0.99999999999999978</v>
      </c>
      <c r="I44" s="2"/>
      <c r="P44" s="12">
        <f t="shared" si="7"/>
        <v>18</v>
      </c>
      <c r="Q44" s="2">
        <f t="shared" si="8"/>
        <v>-2.2000000000000002</v>
      </c>
      <c r="R44" s="2">
        <v>12.17782366720162</v>
      </c>
      <c r="S44">
        <v>4.5208063077436194</v>
      </c>
      <c r="T44">
        <v>0.88106498031058067</v>
      </c>
      <c r="U44">
        <v>0</v>
      </c>
      <c r="V44">
        <v>0</v>
      </c>
      <c r="W44">
        <v>0.17366440488190521</v>
      </c>
      <c r="X44">
        <v>-0.71923319431119581</v>
      </c>
      <c r="Y44">
        <v>0.2342637196166763</v>
      </c>
      <c r="Z44">
        <v>0</v>
      </c>
      <c r="AA44">
        <v>0.40648382615124501</v>
      </c>
      <c r="AB44">
        <v>2.3756263350788731E-2</v>
      </c>
    </row>
    <row r="45" spans="1:28">
      <c r="F45" s="24"/>
      <c r="H45" s="2"/>
      <c r="I45" s="2"/>
      <c r="P45" s="12">
        <f t="shared" si="7"/>
        <v>19</v>
      </c>
      <c r="Q45" s="2">
        <f t="shared" si="8"/>
        <v>-2.0999999999999996</v>
      </c>
      <c r="R45" s="2">
        <v>11.853696730927865</v>
      </c>
      <c r="S45">
        <v>4.4295605461866652</v>
      </c>
      <c r="T45">
        <v>0.85398540643141707</v>
      </c>
      <c r="U45">
        <v>0</v>
      </c>
      <c r="V45">
        <v>0</v>
      </c>
      <c r="W45">
        <v>0.1702606552421643</v>
      </c>
      <c r="X45">
        <v>-0.67943757159612717</v>
      </c>
      <c r="Y45">
        <v>0.22726962348147925</v>
      </c>
      <c r="Z45">
        <v>0</v>
      </c>
      <c r="AA45">
        <v>0.39584799343292687</v>
      </c>
      <c r="AB45">
        <v>3.2073893008139676E-2</v>
      </c>
    </row>
    <row r="46" spans="1:28">
      <c r="F46" s="24"/>
      <c r="H46" s="2"/>
      <c r="I46" s="2"/>
      <c r="P46" s="12">
        <f t="shared" si="7"/>
        <v>20</v>
      </c>
      <c r="Q46" s="2">
        <f t="shared" si="8"/>
        <v>-2</v>
      </c>
      <c r="R46" s="2">
        <v>11.531181262177803</v>
      </c>
      <c r="S46">
        <v>4.3383147846297101</v>
      </c>
      <c r="T46">
        <v>0.82690583255225369</v>
      </c>
      <c r="U46">
        <v>0</v>
      </c>
      <c r="V46">
        <v>0</v>
      </c>
      <c r="W46">
        <v>0.16685690560242347</v>
      </c>
      <c r="X46">
        <v>-0.63964194888105874</v>
      </c>
      <c r="Y46">
        <v>0.22027552734628225</v>
      </c>
      <c r="Z46">
        <v>0</v>
      </c>
      <c r="AA46">
        <v>0.38521216071460884</v>
      </c>
      <c r="AB46">
        <v>4.0391522665490509E-2</v>
      </c>
    </row>
    <row r="47" spans="1:28">
      <c r="F47" s="24"/>
      <c r="H47" s="2"/>
      <c r="I47" s="2"/>
      <c r="P47" s="12">
        <f t="shared" si="7"/>
        <v>21</v>
      </c>
      <c r="Q47" s="2">
        <f t="shared" si="8"/>
        <v>-1.9</v>
      </c>
      <c r="R47" s="2">
        <v>11.210416344035904</v>
      </c>
      <c r="S47">
        <v>4.2470690230727568</v>
      </c>
      <c r="T47">
        <v>0.79982625867309032</v>
      </c>
      <c r="U47">
        <v>0</v>
      </c>
      <c r="V47">
        <v>0</v>
      </c>
      <c r="W47">
        <v>0.16345315596268262</v>
      </c>
      <c r="X47">
        <v>-0.5998463261659901</v>
      </c>
      <c r="Y47">
        <v>0.21328143121108517</v>
      </c>
      <c r="Z47">
        <v>0</v>
      </c>
      <c r="AA47">
        <v>0.37457632799629081</v>
      </c>
      <c r="AB47">
        <v>4.8709152322841343E-2</v>
      </c>
    </row>
    <row r="48" spans="1:28" ht="15" thickBot="1">
      <c r="A48" s="6" t="s">
        <v>20</v>
      </c>
      <c r="F48" s="48" t="s">
        <v>22</v>
      </c>
      <c r="G48" s="6"/>
      <c r="H48" s="47" t="s">
        <v>23</v>
      </c>
      <c r="I48" s="2"/>
      <c r="J48" s="39" t="s">
        <v>24</v>
      </c>
      <c r="P48" s="12">
        <f t="shared" si="7"/>
        <v>22</v>
      </c>
      <c r="Q48" s="2">
        <f t="shared" si="8"/>
        <v>-1.7999999999999998</v>
      </c>
      <c r="R48" s="2">
        <v>10.891556642881245</v>
      </c>
      <c r="S48">
        <v>4.1558232615158008</v>
      </c>
      <c r="T48">
        <v>0.77274668479392683</v>
      </c>
      <c r="U48">
        <v>0</v>
      </c>
      <c r="V48">
        <v>0</v>
      </c>
      <c r="W48">
        <v>0.16004940632294173</v>
      </c>
      <c r="X48">
        <v>-0.56005070345092167</v>
      </c>
      <c r="Y48">
        <v>0.20628733507588812</v>
      </c>
      <c r="Z48">
        <v>0</v>
      </c>
      <c r="AA48">
        <v>0.36394049527797273</v>
      </c>
      <c r="AB48">
        <v>5.7026781980192287E-2</v>
      </c>
    </row>
    <row r="49" spans="1:28">
      <c r="A49" s="108" t="s">
        <v>72</v>
      </c>
      <c r="B49" s="2">
        <f>B4-$B$60</f>
        <v>3.1467252365315947</v>
      </c>
      <c r="D49" s="18">
        <f>B49*F4</f>
        <v>3.1467252365315947</v>
      </c>
      <c r="F49" s="21">
        <f t="array" ref="F49:F57">MMULT($V$4:$AD$12,D49:D57)</f>
        <v>2.1052321525169317E-2</v>
      </c>
      <c r="H49" s="9">
        <f>F49/$F$58</f>
        <v>0.28630433983767251</v>
      </c>
      <c r="I49" s="2"/>
      <c r="J49" s="40" t="s">
        <v>11</v>
      </c>
      <c r="K49" s="41">
        <f>SUMPRODUCT(B4:B12,H49:H57)</f>
        <v>2.51673534908609</v>
      </c>
      <c r="P49" s="12">
        <f t="shared" si="7"/>
        <v>23</v>
      </c>
      <c r="Q49" s="2">
        <f t="shared" si="8"/>
        <v>-1.6999999999999997</v>
      </c>
      <c r="R49" s="2">
        <v>10.574774503344749</v>
      </c>
      <c r="S49">
        <v>4.0645774999588475</v>
      </c>
      <c r="T49">
        <v>0.74566711091476345</v>
      </c>
      <c r="U49">
        <v>0</v>
      </c>
      <c r="V49">
        <v>0</v>
      </c>
      <c r="W49">
        <v>0.15664565668320088</v>
      </c>
      <c r="X49">
        <v>-0.52025508073585303</v>
      </c>
      <c r="Y49">
        <v>0.19929323894069106</v>
      </c>
      <c r="Z49">
        <v>0</v>
      </c>
      <c r="AA49">
        <v>0.35330466255965465</v>
      </c>
      <c r="AB49">
        <v>6.5344411637543176E-2</v>
      </c>
    </row>
    <row r="50" spans="1:28">
      <c r="A50" s="108" t="s">
        <v>73</v>
      </c>
      <c r="B50" s="2">
        <f>B5-$B$60</f>
        <v>-1.0058314626421252</v>
      </c>
      <c r="D50" s="19">
        <f t="shared" ref="D50:D57" si="12">B50*F5</f>
        <v>0</v>
      </c>
      <c r="F50" s="22">
        <v>0</v>
      </c>
      <c r="H50" s="10">
        <f t="shared" ref="H50:H57" si="13">F50/$F$58</f>
        <v>0</v>
      </c>
      <c r="I50" s="2"/>
      <c r="J50" s="42" t="s">
        <v>13</v>
      </c>
      <c r="K50" s="43">
        <f t="array" ref="K50">MMULT(TRANSPOSE(H49:H57),MMULT(K4:S12,H49:H57))</f>
        <v>34.147430189336518</v>
      </c>
      <c r="P50" s="12">
        <f t="shared" si="7"/>
        <v>24</v>
      </c>
      <c r="Q50" s="2">
        <f t="shared" si="8"/>
        <v>-1.5999999999999996</v>
      </c>
      <c r="R50" s="2">
        <v>10.260262359273574</v>
      </c>
      <c r="S50">
        <v>3.9733317384018934</v>
      </c>
      <c r="T50">
        <v>0.71858753703559997</v>
      </c>
      <c r="U50">
        <v>0</v>
      </c>
      <c r="V50">
        <v>0</v>
      </c>
      <c r="W50">
        <v>0.15324190704345997</v>
      </c>
      <c r="X50">
        <v>-0.48045945802078449</v>
      </c>
      <c r="Y50">
        <v>0.19229914280549404</v>
      </c>
      <c r="Z50">
        <v>0</v>
      </c>
      <c r="AA50">
        <v>0.34266882984133651</v>
      </c>
      <c r="AB50">
        <v>7.3662041294894065E-2</v>
      </c>
    </row>
    <row r="51" spans="1:28" ht="15" thickBot="1">
      <c r="A51" s="108" t="s">
        <v>74</v>
      </c>
      <c r="B51" s="2">
        <f t="shared" ref="B51:B57" si="14">B6-$B$60</f>
        <v>-1.0058314626421252</v>
      </c>
      <c r="D51" s="19">
        <f t="shared" si="12"/>
        <v>0</v>
      </c>
      <c r="F51" s="22">
        <v>0</v>
      </c>
      <c r="H51" s="10">
        <f t="shared" si="13"/>
        <v>0</v>
      </c>
      <c r="I51" s="2"/>
      <c r="J51" s="44" t="s">
        <v>12</v>
      </c>
      <c r="K51" s="45">
        <f>POWER(K50,0.5)</f>
        <v>5.8435802543762945</v>
      </c>
      <c r="P51" s="12">
        <f t="shared" si="7"/>
        <v>25</v>
      </c>
      <c r="Q51" s="2">
        <f t="shared" si="8"/>
        <v>-1.5</v>
      </c>
      <c r="R51" s="2">
        <v>9.9482355098127098</v>
      </c>
      <c r="S51">
        <v>3.8820859768449392</v>
      </c>
      <c r="T51">
        <v>0.6915079631564367</v>
      </c>
      <c r="U51">
        <v>0</v>
      </c>
      <c r="V51">
        <v>0</v>
      </c>
      <c r="W51">
        <v>0.14983815740371911</v>
      </c>
      <c r="X51">
        <v>-0.44066383530571607</v>
      </c>
      <c r="Y51">
        <v>0.18530504667029699</v>
      </c>
      <c r="Z51">
        <v>0</v>
      </c>
      <c r="AA51">
        <v>0.33203299712301854</v>
      </c>
      <c r="AB51">
        <v>8.1979670952244899E-2</v>
      </c>
    </row>
    <row r="52" spans="1:28">
      <c r="A52" s="113" t="s">
        <v>75</v>
      </c>
      <c r="B52" s="2">
        <f t="shared" si="14"/>
        <v>2.1647082949459646</v>
      </c>
      <c r="D52" s="19">
        <f t="shared" si="12"/>
        <v>2.1647082949459646</v>
      </c>
      <c r="F52" s="22">
        <v>7.2727093375011403E-3</v>
      </c>
      <c r="H52" s="10">
        <f t="shared" si="13"/>
        <v>9.8906348319596729E-2</v>
      </c>
      <c r="I52" s="2"/>
      <c r="P52" s="12">
        <f t="shared" si="7"/>
        <v>26</v>
      </c>
      <c r="Q52" s="2">
        <f t="shared" si="8"/>
        <v>-1.4</v>
      </c>
      <c r="R52" s="2">
        <v>9.6389353161698956</v>
      </c>
      <c r="S52">
        <v>3.790840215287985</v>
      </c>
      <c r="T52">
        <v>0.66442838927727321</v>
      </c>
      <c r="U52">
        <v>0</v>
      </c>
      <c r="V52">
        <v>0</v>
      </c>
      <c r="W52">
        <v>0.14643440776397826</v>
      </c>
      <c r="X52">
        <v>-0.40086821259064764</v>
      </c>
      <c r="Y52">
        <v>0.17831095053509996</v>
      </c>
      <c r="Z52">
        <v>0</v>
      </c>
      <c r="AA52">
        <v>0.32139716440470045</v>
      </c>
      <c r="AB52">
        <v>9.0297300609595732E-2</v>
      </c>
    </row>
    <row r="53" spans="1:28">
      <c r="A53" s="108" t="s">
        <v>76</v>
      </c>
      <c r="B53" s="2">
        <f t="shared" si="14"/>
        <v>1.2436973978716748</v>
      </c>
      <c r="D53" s="19">
        <f t="shared" si="12"/>
        <v>1.2436973978716748</v>
      </c>
      <c r="F53" s="22">
        <v>1.1383790716157288E-2</v>
      </c>
      <c r="H53" s="10">
        <f t="shared" si="13"/>
        <v>0.1548156426331905</v>
      </c>
      <c r="I53" s="2"/>
      <c r="P53" s="12">
        <f t="shared" si="7"/>
        <v>27</v>
      </c>
      <c r="Q53" s="2">
        <f t="shared" si="8"/>
        <v>-1.2999999999999998</v>
      </c>
      <c r="R53" s="2">
        <v>9.3326328810766128</v>
      </c>
      <c r="S53">
        <v>3.6995944537310308</v>
      </c>
      <c r="T53">
        <v>0.63734881539810984</v>
      </c>
      <c r="U53">
        <v>0</v>
      </c>
      <c r="V53">
        <v>0</v>
      </c>
      <c r="W53">
        <v>0.14303065812423738</v>
      </c>
      <c r="X53">
        <v>-0.36107258987557911</v>
      </c>
      <c r="Y53">
        <v>0.17131685439990291</v>
      </c>
      <c r="Z53">
        <v>0</v>
      </c>
      <c r="AA53">
        <v>0.31076133168638237</v>
      </c>
      <c r="AB53">
        <v>9.8614930266946621E-2</v>
      </c>
    </row>
    <row r="54" spans="1:28">
      <c r="A54" s="108" t="s">
        <v>77</v>
      </c>
      <c r="B54" s="2">
        <f t="shared" si="14"/>
        <v>2.7615855655669748</v>
      </c>
      <c r="D54" s="19">
        <f t="shared" si="12"/>
        <v>2.7615855655669748</v>
      </c>
      <c r="F54" s="22">
        <v>5.9302452047361029E-3</v>
      </c>
      <c r="H54" s="10">
        <f t="shared" si="13"/>
        <v>8.0649297341749471E-2</v>
      </c>
      <c r="I54" s="2"/>
      <c r="P54" s="12">
        <f t="shared" si="7"/>
        <v>28</v>
      </c>
      <c r="Q54" s="2">
        <f t="shared" si="8"/>
        <v>-1.1999999999999997</v>
      </c>
      <c r="R54" s="2">
        <v>9.0296332788011853</v>
      </c>
      <c r="S54">
        <v>3.6083486921740766</v>
      </c>
      <c r="T54">
        <v>0.61026924151894635</v>
      </c>
      <c r="U54">
        <v>0</v>
      </c>
      <c r="V54">
        <v>0</v>
      </c>
      <c r="W54">
        <v>0.13962690848449652</v>
      </c>
      <c r="X54">
        <v>-0.32127696716051057</v>
      </c>
      <c r="Y54">
        <v>0.16432275826470583</v>
      </c>
      <c r="Z54">
        <v>0</v>
      </c>
      <c r="AA54">
        <v>0.30012549896806429</v>
      </c>
      <c r="AB54">
        <v>0.10693255992429751</v>
      </c>
    </row>
    <row r="55" spans="1:28">
      <c r="A55" s="108" t="s">
        <v>78</v>
      </c>
      <c r="B55" s="2">
        <f t="shared" si="14"/>
        <v>-1.0058314626421252</v>
      </c>
      <c r="D55" s="19">
        <f t="shared" si="12"/>
        <v>0</v>
      </c>
      <c r="F55" s="22">
        <v>0</v>
      </c>
      <c r="H55" s="10">
        <f t="shared" si="13"/>
        <v>0</v>
      </c>
      <c r="I55" s="2"/>
      <c r="P55" s="12">
        <f t="shared" si="7"/>
        <v>29</v>
      </c>
      <c r="Q55" s="2">
        <f t="shared" si="8"/>
        <v>-1.0999999999999996</v>
      </c>
      <c r="R55" s="2">
        <v>8.7302804078306497</v>
      </c>
      <c r="S55">
        <v>3.5171029306171211</v>
      </c>
      <c r="T55">
        <v>0.58318966763978286</v>
      </c>
      <c r="U55">
        <v>0</v>
      </c>
      <c r="V55">
        <v>0</v>
      </c>
      <c r="W55">
        <v>0.13622315884475567</v>
      </c>
      <c r="X55">
        <v>-0.28148134444544204</v>
      </c>
      <c r="Y55">
        <v>0.15732866212950877</v>
      </c>
      <c r="Z55">
        <v>0</v>
      </c>
      <c r="AA55">
        <v>0.28948966624974615</v>
      </c>
      <c r="AB55">
        <v>0.1152501895816484</v>
      </c>
    </row>
    <row r="56" spans="1:28">
      <c r="A56" s="108" t="s">
        <v>79</v>
      </c>
      <c r="B56" s="2">
        <f t="shared" si="14"/>
        <v>3.8834435735132149</v>
      </c>
      <c r="D56" s="19">
        <f t="shared" si="12"/>
        <v>3.8834435735132149</v>
      </c>
      <c r="F56" s="22">
        <v>1.2712404599140551E-2</v>
      </c>
      <c r="H56" s="10">
        <f t="shared" si="13"/>
        <v>0.17288433497250869</v>
      </c>
      <c r="I56" s="2"/>
      <c r="P56" s="12">
        <f t="shared" si="7"/>
        <v>30</v>
      </c>
      <c r="Q56" s="2">
        <f t="shared" si="8"/>
        <v>-1</v>
      </c>
      <c r="R56" s="2">
        <v>8.4349625394607415</v>
      </c>
      <c r="S56">
        <v>3.4258571690601682</v>
      </c>
      <c r="T56">
        <v>0.55611009376061959</v>
      </c>
      <c r="U56">
        <v>0</v>
      </c>
      <c r="V56">
        <v>0</v>
      </c>
      <c r="W56">
        <v>0.13281940920501478</v>
      </c>
      <c r="X56">
        <v>-0.24168572173037361</v>
      </c>
      <c r="Y56">
        <v>0.15033456599431178</v>
      </c>
      <c r="Z56">
        <v>0</v>
      </c>
      <c r="AA56">
        <v>0.27885383353142812</v>
      </c>
      <c r="AB56">
        <v>0.12356781923899929</v>
      </c>
    </row>
    <row r="57" spans="1:28" ht="15" thickBot="1">
      <c r="A57" s="111" t="s">
        <v>80</v>
      </c>
      <c r="B57" s="2">
        <f t="shared" si="14"/>
        <v>1.4979124207381147</v>
      </c>
      <c r="D57" s="20">
        <f t="shared" si="12"/>
        <v>1.4979124207381147</v>
      </c>
      <c r="F57" s="23">
        <v>1.5179797955041111E-2</v>
      </c>
      <c r="H57" s="11">
        <f t="shared" si="13"/>
        <v>0.20644003689528212</v>
      </c>
      <c r="I57" s="2"/>
      <c r="P57" s="12">
        <f t="shared" si="7"/>
        <v>31</v>
      </c>
      <c r="Q57" s="2">
        <f t="shared" si="8"/>
        <v>-0.89999999999999991</v>
      </c>
      <c r="R57" s="2">
        <v>8.1441186311286398</v>
      </c>
      <c r="S57">
        <v>3.3346114075032132</v>
      </c>
      <c r="T57">
        <v>0.52903051988145611</v>
      </c>
      <c r="U57">
        <v>0</v>
      </c>
      <c r="V57">
        <v>0</v>
      </c>
      <c r="W57">
        <v>0.12941565956527393</v>
      </c>
      <c r="X57">
        <v>-0.20189009901530508</v>
      </c>
      <c r="Y57">
        <v>0.14334046985911472</v>
      </c>
      <c r="Z57">
        <v>0</v>
      </c>
      <c r="AA57">
        <v>0.26821800081311004</v>
      </c>
      <c r="AB57">
        <v>0.13188544889635018</v>
      </c>
    </row>
    <row r="58" spans="1:28">
      <c r="F58" s="24">
        <f>SUM(F49:F57)</f>
        <v>7.3531269337745508E-2</v>
      </c>
      <c r="H58" s="5">
        <f>SUM(H49:H57)</f>
        <v>1</v>
      </c>
      <c r="I58" s="2"/>
      <c r="P58" s="12">
        <f t="shared" si="7"/>
        <v>32</v>
      </c>
      <c r="Q58" s="2">
        <f t="shared" ref="Q58:Q76" si="15">P58*$Q$23+$Q$20</f>
        <v>-0.79999999999999982</v>
      </c>
      <c r="R58" s="2">
        <v>7.8582454598163096</v>
      </c>
      <c r="S58">
        <v>3.2433656459462594</v>
      </c>
      <c r="T58">
        <v>0.50195094600229284</v>
      </c>
      <c r="U58">
        <v>0</v>
      </c>
      <c r="V58">
        <v>0</v>
      </c>
      <c r="W58">
        <v>0.12601190992553307</v>
      </c>
      <c r="X58">
        <v>-0.16209447630023655</v>
      </c>
      <c r="Y58">
        <v>0.13634637372391767</v>
      </c>
      <c r="Z58">
        <v>0</v>
      </c>
      <c r="AA58">
        <v>0.25758216809479195</v>
      </c>
      <c r="AB58">
        <v>0.14020307855370107</v>
      </c>
    </row>
    <row r="59" spans="1:28">
      <c r="F59"/>
      <c r="P59" s="12">
        <f t="shared" ref="P59:P76" si="16">P58+1</f>
        <v>33</v>
      </c>
      <c r="Q59" s="2">
        <f t="shared" si="15"/>
        <v>-0.69999999999999973</v>
      </c>
      <c r="R59" s="2">
        <v>7.5779056030401319</v>
      </c>
      <c r="S59">
        <v>3.1521198843893043</v>
      </c>
      <c r="T59">
        <v>0.47487137212312935</v>
      </c>
      <c r="U59">
        <v>0</v>
      </c>
      <c r="V59">
        <v>0</v>
      </c>
      <c r="W59">
        <v>0.1226081602857922</v>
      </c>
      <c r="X59">
        <v>-0.12229885358516795</v>
      </c>
      <c r="Y59">
        <v>0.12935227758872062</v>
      </c>
      <c r="Z59">
        <v>0</v>
      </c>
      <c r="AA59">
        <v>0.24694633537647387</v>
      </c>
      <c r="AB59">
        <v>0.14852070821105195</v>
      </c>
    </row>
    <row r="60" spans="1:28" ht="16">
      <c r="A60" t="s">
        <v>21</v>
      </c>
      <c r="B60" s="14">
        <f>IF(C60,B62,B61)</f>
        <v>5.8314626421251958E-3</v>
      </c>
      <c r="C60" t="b">
        <f>B61&gt;B62</f>
        <v>0</v>
      </c>
      <c r="E60" t="s">
        <v>43</v>
      </c>
      <c r="F60" s="7" t="s">
        <v>11</v>
      </c>
      <c r="P60" s="12">
        <f t="shared" si="16"/>
        <v>34</v>
      </c>
      <c r="Q60" s="2">
        <f t="shared" si="15"/>
        <v>-0.59999999999999964</v>
      </c>
      <c r="R60" s="2">
        <v>7.3037362454764727</v>
      </c>
      <c r="S60">
        <v>3.0608741228323502</v>
      </c>
      <c r="T60">
        <v>0.44779179824396587</v>
      </c>
      <c r="U60">
        <v>0</v>
      </c>
      <c r="V60">
        <v>0</v>
      </c>
      <c r="W60">
        <v>0.11920441064605131</v>
      </c>
      <c r="X60">
        <v>-8.250323087009942E-2</v>
      </c>
      <c r="Y60">
        <v>0.12235818145352356</v>
      </c>
      <c r="Z60">
        <v>0</v>
      </c>
      <c r="AA60">
        <v>0.23631050265815576</v>
      </c>
      <c r="AB60">
        <v>0.15683833786840284</v>
      </c>
    </row>
    <row r="61" spans="1:28">
      <c r="B61" s="2">
        <f>B1</f>
        <v>5.8314626421251958E-3</v>
      </c>
      <c r="C61" s="2"/>
      <c r="D61" t="s">
        <v>44</v>
      </c>
      <c r="E61" s="7">
        <f>0</f>
        <v>0</v>
      </c>
      <c r="F61" s="3">
        <f>B61</f>
        <v>5.8314626421251958E-3</v>
      </c>
      <c r="P61" s="12">
        <f t="shared" si="16"/>
        <v>35</v>
      </c>
      <c r="Q61" s="2">
        <f t="shared" si="15"/>
        <v>-0.5</v>
      </c>
      <c r="R61" s="2">
        <v>7.0364587081445258</v>
      </c>
      <c r="S61">
        <v>2.969628361275396</v>
      </c>
      <c r="T61">
        <v>0.42071222436480255</v>
      </c>
      <c r="U61">
        <v>0</v>
      </c>
      <c r="V61">
        <v>0</v>
      </c>
      <c r="W61">
        <v>0.11580066100631048</v>
      </c>
      <c r="X61">
        <v>-4.2707608155031079E-2</v>
      </c>
      <c r="Y61">
        <v>0.11536408531832655</v>
      </c>
      <c r="Z61">
        <v>0</v>
      </c>
      <c r="AA61">
        <v>0.2256746699398377</v>
      </c>
      <c r="AB61">
        <v>0.16515596752575371</v>
      </c>
    </row>
    <row r="62" spans="1:28">
      <c r="B62" s="2">
        <f>HLOOKUP('EFFICIENT FRONTIER GRAPHS'!C14,'TREASURY DATA'!A2:M4,2,FALSE)</f>
        <v>5.8314626421251958E-3</v>
      </c>
      <c r="D62" t="s">
        <v>24</v>
      </c>
      <c r="E62" s="3">
        <f>K51</f>
        <v>5.8435802543762945</v>
      </c>
      <c r="F62" s="3">
        <f>K49</f>
        <v>2.51673534908609</v>
      </c>
      <c r="P62" s="12">
        <f t="shared" si="16"/>
        <v>36</v>
      </c>
      <c r="Q62" s="2">
        <f t="shared" si="15"/>
        <v>-0.39999999999999991</v>
      </c>
      <c r="R62" s="2">
        <v>6.7768884712967985</v>
      </c>
      <c r="S62">
        <v>2.8783825997184418</v>
      </c>
      <c r="T62">
        <v>0.39363265048563917</v>
      </c>
      <c r="U62">
        <v>0</v>
      </c>
      <c r="V62">
        <v>0</v>
      </c>
      <c r="W62">
        <v>0.11239691136656961</v>
      </c>
      <c r="X62">
        <v>-2.9119854399625444E-3</v>
      </c>
      <c r="Y62">
        <v>0.10836998918312948</v>
      </c>
      <c r="Z62">
        <v>0</v>
      </c>
      <c r="AA62">
        <v>0.21503883722151965</v>
      </c>
      <c r="AB62">
        <v>0.17347359718310459</v>
      </c>
    </row>
    <row r="63" spans="1:28">
      <c r="P63" s="12">
        <f t="shared" si="16"/>
        <v>37</v>
      </c>
      <c r="Q63" s="2">
        <f t="shared" si="15"/>
        <v>-0.29999999999999982</v>
      </c>
      <c r="R63" s="2">
        <v>6.5259452760810337</v>
      </c>
      <c r="S63">
        <v>2.7871368381614872</v>
      </c>
      <c r="T63">
        <v>0.36655307660647574</v>
      </c>
      <c r="U63">
        <v>0</v>
      </c>
      <c r="V63">
        <v>0</v>
      </c>
      <c r="W63">
        <v>0.10899316172682871</v>
      </c>
      <c r="X63">
        <v>3.6883637275106018E-2</v>
      </c>
      <c r="Y63">
        <v>0.10137589304793244</v>
      </c>
      <c r="Z63">
        <v>0</v>
      </c>
      <c r="AA63">
        <v>0.20440300450320156</v>
      </c>
      <c r="AB63">
        <v>0.18179122684045548</v>
      </c>
    </row>
    <row r="64" spans="1:28">
      <c r="P64" s="12">
        <f t="shared" si="16"/>
        <v>38</v>
      </c>
      <c r="Q64" s="2">
        <f t="shared" si="15"/>
        <v>-0.19999999999999973</v>
      </c>
      <c r="R64" s="2">
        <v>6.2846626268599035</v>
      </c>
      <c r="S64">
        <v>2.695891076604533</v>
      </c>
      <c r="T64">
        <v>0.3394735027273123</v>
      </c>
      <c r="U64">
        <v>0</v>
      </c>
      <c r="V64">
        <v>0</v>
      </c>
      <c r="W64">
        <v>0.10558941208708786</v>
      </c>
      <c r="X64">
        <v>7.6679259990174539E-2</v>
      </c>
      <c r="Y64">
        <v>9.4381796912735377E-2</v>
      </c>
      <c r="Z64">
        <v>0</v>
      </c>
      <c r="AA64">
        <v>0.19376717178488345</v>
      </c>
      <c r="AB64">
        <v>0.19010885649780637</v>
      </c>
    </row>
    <row r="65" spans="16:28">
      <c r="P65" s="12">
        <f t="shared" si="16"/>
        <v>39</v>
      </c>
      <c r="Q65" s="2">
        <f t="shared" si="15"/>
        <v>-9.9999999999999645E-2</v>
      </c>
      <c r="R65" s="2">
        <v>6.0541956619794908</v>
      </c>
      <c r="S65">
        <v>2.6046453150475788</v>
      </c>
      <c r="T65">
        <v>0.31239392884814887</v>
      </c>
      <c r="U65">
        <v>0</v>
      </c>
      <c r="V65">
        <v>0</v>
      </c>
      <c r="W65">
        <v>0.10218566244734699</v>
      </c>
      <c r="X65">
        <v>0.11647488270524309</v>
      </c>
      <c r="Y65">
        <v>8.7387700777538338E-2</v>
      </c>
      <c r="Z65">
        <v>0</v>
      </c>
      <c r="AA65">
        <v>0.18313133906656537</v>
      </c>
      <c r="AB65">
        <v>0.19842648615515726</v>
      </c>
    </row>
    <row r="66" spans="16:28">
      <c r="P66" s="12">
        <f t="shared" si="16"/>
        <v>40</v>
      </c>
      <c r="Q66" s="2">
        <f t="shared" si="15"/>
        <v>0</v>
      </c>
      <c r="R66" s="2">
        <v>5.8358259129834664</v>
      </c>
      <c r="S66">
        <v>2.5133995534906246</v>
      </c>
      <c r="T66">
        <v>0.28531435496898555</v>
      </c>
      <c r="U66">
        <v>0</v>
      </c>
      <c r="V66">
        <v>0</v>
      </c>
      <c r="W66">
        <v>9.8781912807606134E-2</v>
      </c>
      <c r="X66">
        <v>0.15627050542031146</v>
      </c>
      <c r="Y66">
        <v>8.0393604642341313E-2</v>
      </c>
      <c r="Z66">
        <v>0</v>
      </c>
      <c r="AA66">
        <v>0.17249550634824734</v>
      </c>
      <c r="AB66">
        <v>0.20674411581250809</v>
      </c>
    </row>
    <row r="67" spans="16:28">
      <c r="P67" s="12">
        <f t="shared" si="16"/>
        <v>41</v>
      </c>
      <c r="Q67" s="2">
        <f t="shared" si="15"/>
        <v>0.10000000000000053</v>
      </c>
      <c r="R67" s="2">
        <v>5.6309609528750704</v>
      </c>
      <c r="S67">
        <v>2.42215379193367</v>
      </c>
      <c r="T67">
        <v>0.25823478108982201</v>
      </c>
      <c r="U67">
        <v>0</v>
      </c>
      <c r="V67">
        <v>0</v>
      </c>
      <c r="W67">
        <v>9.5378163167865251E-2</v>
      </c>
      <c r="X67">
        <v>0.19606612813538019</v>
      </c>
      <c r="Y67">
        <v>7.3399508507144232E-2</v>
      </c>
      <c r="Z67">
        <v>0</v>
      </c>
      <c r="AA67">
        <v>0.1618596736299292</v>
      </c>
      <c r="AB67">
        <v>0.21506174546985904</v>
      </c>
    </row>
    <row r="68" spans="16:28">
      <c r="P68" s="12">
        <f t="shared" si="16"/>
        <v>42</v>
      </c>
      <c r="Q68" s="2">
        <f t="shared" si="15"/>
        <v>0.20000000000000018</v>
      </c>
      <c r="R68" s="2">
        <v>5.4411264102200851</v>
      </c>
      <c r="S68">
        <v>2.3309080303767158</v>
      </c>
      <c r="T68">
        <v>0.23115520721065869</v>
      </c>
      <c r="U68">
        <v>0</v>
      </c>
      <c r="V68">
        <v>0</v>
      </c>
      <c r="W68">
        <v>9.1974413528124396E-2</v>
      </c>
      <c r="X68">
        <v>0.23586175085044853</v>
      </c>
      <c r="Y68">
        <v>6.6405412371947206E-2</v>
      </c>
      <c r="Z68">
        <v>0</v>
      </c>
      <c r="AA68">
        <v>0.15122384091161117</v>
      </c>
      <c r="AB68">
        <v>0.22337937512720987</v>
      </c>
    </row>
    <row r="69" spans="16:28">
      <c r="P69" s="12">
        <f t="shared" si="16"/>
        <v>43</v>
      </c>
      <c r="Q69" s="2">
        <f t="shared" si="15"/>
        <v>0.29999999999999982</v>
      </c>
      <c r="R69" s="2">
        <v>5.2679474336995513</v>
      </c>
      <c r="S69">
        <v>2.2396622688197616</v>
      </c>
      <c r="T69">
        <v>0.20407563333149539</v>
      </c>
      <c r="U69">
        <v>0</v>
      </c>
      <c r="V69">
        <v>0</v>
      </c>
      <c r="W69">
        <v>8.8570663888383541E-2</v>
      </c>
      <c r="X69">
        <v>0.27565737356551689</v>
      </c>
      <c r="Y69">
        <v>5.9411316236750188E-2</v>
      </c>
      <c r="Z69">
        <v>0</v>
      </c>
      <c r="AA69">
        <v>0.14058800819329312</v>
      </c>
      <c r="AB69">
        <v>0.23169700478456071</v>
      </c>
    </row>
    <row r="70" spans="16:28">
      <c r="P70" s="12">
        <f t="shared" si="16"/>
        <v>44</v>
      </c>
      <c r="Q70" s="2">
        <f t="shared" si="15"/>
        <v>0.40000000000000036</v>
      </c>
      <c r="R70" s="2">
        <v>5.1131166532248429</v>
      </c>
      <c r="S70">
        <v>2.148416507262807</v>
      </c>
      <c r="T70">
        <v>0.17699605945233182</v>
      </c>
      <c r="U70">
        <v>0</v>
      </c>
      <c r="V70">
        <v>0</v>
      </c>
      <c r="W70">
        <v>8.5166914248642658E-2</v>
      </c>
      <c r="X70">
        <v>0.31545299628058565</v>
      </c>
      <c r="Y70">
        <v>5.2417220101553107E-2</v>
      </c>
      <c r="Z70">
        <v>0</v>
      </c>
      <c r="AA70">
        <v>0.12995217547497498</v>
      </c>
      <c r="AB70">
        <v>0.24001463444191162</v>
      </c>
    </row>
    <row r="71" spans="16:28">
      <c r="P71" s="12">
        <f t="shared" si="16"/>
        <v>45</v>
      </c>
      <c r="Q71" s="2">
        <f t="shared" si="15"/>
        <v>0.5</v>
      </c>
      <c r="R71" s="2">
        <v>4.9783462964909493</v>
      </c>
      <c r="S71">
        <v>2.0571707457058528</v>
      </c>
      <c r="T71">
        <v>0.1499164855731685</v>
      </c>
      <c r="U71">
        <v>0</v>
      </c>
      <c r="V71">
        <v>0</v>
      </c>
      <c r="W71">
        <v>8.1763164608901803E-2</v>
      </c>
      <c r="X71">
        <v>0.35524861899565396</v>
      </c>
      <c r="Y71">
        <v>4.5423123966356081E-2</v>
      </c>
      <c r="Z71">
        <v>0</v>
      </c>
      <c r="AA71">
        <v>0.11931634275665695</v>
      </c>
      <c r="AB71">
        <v>0.24833226409926251</v>
      </c>
    </row>
    <row r="72" spans="16:28">
      <c r="P72" s="12">
        <f t="shared" si="16"/>
        <v>46</v>
      </c>
      <c r="Q72" s="2">
        <f t="shared" si="15"/>
        <v>0.60000000000000053</v>
      </c>
      <c r="R72" s="2">
        <v>4.8653036882728546</v>
      </c>
      <c r="S72">
        <v>1.9659249841488982</v>
      </c>
      <c r="T72">
        <v>0.12283691169400494</v>
      </c>
      <c r="U72">
        <v>0</v>
      </c>
      <c r="V72">
        <v>0</v>
      </c>
      <c r="W72">
        <v>7.835941496916092E-2</v>
      </c>
      <c r="X72">
        <v>0.39504424171072272</v>
      </c>
      <c r="Y72">
        <v>3.8429027831159E-2</v>
      </c>
      <c r="Z72">
        <v>0</v>
      </c>
      <c r="AA72">
        <v>0.10868051003833881</v>
      </c>
      <c r="AB72">
        <v>0.2566498937566134</v>
      </c>
    </row>
    <row r="73" spans="16:28">
      <c r="P73" s="12">
        <f t="shared" si="16"/>
        <v>47</v>
      </c>
      <c r="Q73" s="2">
        <f t="shared" si="15"/>
        <v>0.70000000000000018</v>
      </c>
      <c r="R73" s="2">
        <v>4.7755320440233797</v>
      </c>
      <c r="S73">
        <v>1.8746792225919446</v>
      </c>
      <c r="T73">
        <v>9.5757337814841637E-2</v>
      </c>
      <c r="U73">
        <v>0</v>
      </c>
      <c r="V73">
        <v>0</v>
      </c>
      <c r="W73">
        <v>7.4955665329420065E-2</v>
      </c>
      <c r="X73">
        <v>0.43483986442579109</v>
      </c>
      <c r="Y73">
        <v>3.1434931695961982E-2</v>
      </c>
      <c r="Z73">
        <v>0</v>
      </c>
      <c r="AA73">
        <v>9.8044677320020771E-2</v>
      </c>
      <c r="AB73">
        <v>0.26496752341396429</v>
      </c>
    </row>
    <row r="74" spans="16:28">
      <c r="P74" s="12">
        <f t="shared" si="16"/>
        <v>48</v>
      </c>
      <c r="Q74" s="2">
        <f t="shared" si="15"/>
        <v>0.80000000000000071</v>
      </c>
      <c r="R74" s="2">
        <v>4.7103620689818708</v>
      </c>
      <c r="S74">
        <v>1.7834334610349893</v>
      </c>
      <c r="T74">
        <v>6.8677763935678093E-2</v>
      </c>
      <c r="U74">
        <v>0</v>
      </c>
      <c r="V74">
        <v>0</v>
      </c>
      <c r="W74">
        <v>7.1551915689679182E-2</v>
      </c>
      <c r="X74">
        <v>0.47463548714085979</v>
      </c>
      <c r="Y74">
        <v>2.4440835560764897E-2</v>
      </c>
      <c r="Z74">
        <v>0</v>
      </c>
      <c r="AA74">
        <v>8.7408844601702645E-2</v>
      </c>
      <c r="AB74">
        <v>0.27328515307131518</v>
      </c>
    </row>
    <row r="75" spans="16:28">
      <c r="P75" s="12">
        <f t="shared" si="16"/>
        <v>49</v>
      </c>
      <c r="Q75" s="2">
        <f t="shared" si="15"/>
        <v>0.90000000000000036</v>
      </c>
      <c r="R75" s="2">
        <v>4.6708236459267658</v>
      </c>
      <c r="S75">
        <v>1.6921876994780354</v>
      </c>
      <c r="T75">
        <v>4.1598190056514772E-2</v>
      </c>
      <c r="U75">
        <v>0</v>
      </c>
      <c r="V75">
        <v>0</v>
      </c>
      <c r="W75">
        <v>6.8148166049938327E-2</v>
      </c>
      <c r="X75">
        <v>0.51443110985592821</v>
      </c>
      <c r="Y75">
        <v>1.7446739425567875E-2</v>
      </c>
      <c r="Z75">
        <v>0</v>
      </c>
      <c r="AA75">
        <v>7.6773011883384604E-2</v>
      </c>
      <c r="AB75">
        <v>0.28160278272866601</v>
      </c>
    </row>
    <row r="76" spans="16:28">
      <c r="P76" s="12">
        <f t="shared" si="16"/>
        <v>50</v>
      </c>
      <c r="Q76" s="2">
        <f t="shared" si="15"/>
        <v>1</v>
      </c>
      <c r="R76" s="2">
        <v>4.6575695845398188</v>
      </c>
      <c r="S76">
        <v>1.6009419379210816</v>
      </c>
      <c r="T76">
        <v>1.451861617735146E-2</v>
      </c>
      <c r="U76">
        <v>0</v>
      </c>
      <c r="V76">
        <v>0</v>
      </c>
      <c r="W76">
        <v>6.4744416410197472E-2</v>
      </c>
      <c r="X76">
        <v>0.55422673257099653</v>
      </c>
      <c r="Y76">
        <v>1.0452643290370855E-2</v>
      </c>
      <c r="Z76">
        <v>0</v>
      </c>
      <c r="AA76">
        <v>6.6137179165066562E-2</v>
      </c>
      <c r="AB76">
        <v>0.2899204123860169</v>
      </c>
    </row>
  </sheetData>
  <phoneticPr fontId="13" type="noConversion"/>
  <conditionalFormatting sqref="B4:B12">
    <cfRule type="cellIs" dxfId="0" priority="1" operator="lessThan">
      <formula>$B$1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STOCK_DATA</vt:lpstr>
      <vt:lpstr>MW DATA</vt:lpstr>
      <vt:lpstr>TREASURY DATA</vt:lpstr>
      <vt:lpstr>EFFICIENT FRONTIER GRAPHS</vt:lpstr>
      <vt:lpstr>EFFICIENT FRONTIER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Microsoft Office User</cp:lastModifiedBy>
  <dcterms:created xsi:type="dcterms:W3CDTF">2015-04-07T01:08:30Z</dcterms:created>
  <dcterms:modified xsi:type="dcterms:W3CDTF">2022-09-15T03:07:09Z</dcterms:modified>
</cp:coreProperties>
</file>